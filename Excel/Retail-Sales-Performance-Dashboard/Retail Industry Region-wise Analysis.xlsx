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timelines/timeline2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thursewin-my.sharepoint.com/personal/233512_officekit_co/Documents/Desktop/Power BI Practice Presentations/"/>
    </mc:Choice>
  </mc:AlternateContent>
  <xr:revisionPtr revIDLastSave="14" documentId="14_{8B4A19B7-FCA7-4935-B5F3-25B4A2D960BC}" xr6:coauthVersionLast="47" xr6:coauthVersionMax="47" xr10:uidLastSave="{8A475482-E314-4A47-B8F8-9B5DA81063F1}"/>
  <bookViews>
    <workbookView xWindow="-108" yWindow="-108" windowWidth="23256" windowHeight="13896" firstSheet="2" activeTab="3" xr2:uid="{A2C93FBC-1633-42D3-B063-74ECDC6BA310}"/>
  </bookViews>
  <sheets>
    <sheet name="Analysis " sheetId="1" state="hidden" r:id="rId1"/>
    <sheet name="Store Average Delivery Days " sheetId="4" state="hidden" r:id="rId2"/>
    <sheet name="Organized Analysis" sheetId="5" r:id="rId3"/>
    <sheet name="Dashboard 1" sheetId="2" r:id="rId4"/>
    <sheet name="Dashboard 2" sheetId="3" r:id="rId5"/>
  </sheets>
  <definedNames>
    <definedName name="NativeTimeline_Order_Date" localSheetId="2">#N/A</definedName>
    <definedName name="NativeTimeline_Order_Date">#N/A</definedName>
  </definedNames>
  <calcPr calcId="191029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8" i="1" l="1"/>
  <c r="N42" i="1" a="1"/>
  <c r="N42" i="1" s="1"/>
  <c r="O40" i="1" s="1"/>
  <c r="E41" i="1" a="1"/>
  <c r="E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<sst xmlns="http://schemas.openxmlformats.org/spreadsheetml/2006/main" count="453" uniqueCount="174">
  <si>
    <t>Region</t>
  </si>
  <si>
    <t>Average Delivery Days</t>
  </si>
  <si>
    <t>Store Name</t>
  </si>
  <si>
    <t>Average of Delivery_Days</t>
  </si>
  <si>
    <t>Total Sales</t>
  </si>
  <si>
    <t>Total Target</t>
  </si>
  <si>
    <t xml:space="preserve"> Target Achieved Ratio</t>
  </si>
  <si>
    <t>Barishal</t>
  </si>
  <si>
    <t>Dhaka</t>
  </si>
  <si>
    <t>Dhaka Dhanmondi Store</t>
  </si>
  <si>
    <t>Chattogram</t>
  </si>
  <si>
    <t>Dhaka Gulshan Store</t>
  </si>
  <si>
    <t>Dhaka Mirpur Store</t>
  </si>
  <si>
    <t>Khulna</t>
  </si>
  <si>
    <t>Dhaka Motijheel Store</t>
  </si>
  <si>
    <t>Mymensingh</t>
  </si>
  <si>
    <t>Dhaka Uttara Store</t>
  </si>
  <si>
    <t>Rajshahi</t>
  </si>
  <si>
    <t>Dhaka Total</t>
  </si>
  <si>
    <t>Rangpur</t>
  </si>
  <si>
    <t>Khulna Boyra Store</t>
  </si>
  <si>
    <t>Sylhet</t>
  </si>
  <si>
    <t>Khulna Daulatpur Store</t>
  </si>
  <si>
    <t>Sales</t>
  </si>
  <si>
    <t>Sales Rank</t>
  </si>
  <si>
    <t>Target</t>
  </si>
  <si>
    <t>Grand Total</t>
  </si>
  <si>
    <t>Khulna Khalishpur Store</t>
  </si>
  <si>
    <t>Khulna Shibbari Store</t>
  </si>
  <si>
    <t>Khulna Sonadanga Store</t>
  </si>
  <si>
    <t>Khulna Total</t>
  </si>
  <si>
    <t>Sylhet Ambarkhana Store</t>
  </si>
  <si>
    <t>Sylhet South Surma Store</t>
  </si>
  <si>
    <t>Sylhet Subidbazar Store</t>
  </si>
  <si>
    <t>Sylhet Upashahar Store</t>
  </si>
  <si>
    <t>Sylhet Zindabazar Store</t>
  </si>
  <si>
    <t>Sylhet Total</t>
  </si>
  <si>
    <t>Rajshahi Kazla Store</t>
  </si>
  <si>
    <t>Rajshahi Lakshmipur Store</t>
  </si>
  <si>
    <t>Rajshahi Railgate Store</t>
  </si>
  <si>
    <t>Rajshahi Shaheb Bazar Store</t>
  </si>
  <si>
    <t>Rajshahi Uposhohor Store</t>
  </si>
  <si>
    <t>Rajshahi Total</t>
  </si>
  <si>
    <t>Customers</t>
  </si>
  <si>
    <t>Customer Ratings</t>
  </si>
  <si>
    <t>Mymensingh Charpara Store</t>
  </si>
  <si>
    <t>1-2</t>
  </si>
  <si>
    <t>2-3</t>
  </si>
  <si>
    <t>3-4</t>
  </si>
  <si>
    <t>4-5</t>
  </si>
  <si>
    <t>Mymensingh Ganginarpar Store</t>
  </si>
  <si>
    <t>Mymensingh Kewatkhali Store</t>
  </si>
  <si>
    <t>Mymensingh Maskanda Store</t>
  </si>
  <si>
    <t>Mymensingh Town Hall Store</t>
  </si>
  <si>
    <t>Mymensingh Total</t>
  </si>
  <si>
    <t>Barishal Chowmatha Store</t>
  </si>
  <si>
    <t>Barishal Kawnia Store</t>
  </si>
  <si>
    <t>Barishal Nathullabad Store</t>
  </si>
  <si>
    <t>Barishal Rupatali Store</t>
  </si>
  <si>
    <t>Barishal Sadar Road Store</t>
  </si>
  <si>
    <t>Barishal Total</t>
  </si>
  <si>
    <t>Chattogram Agrabad Store</t>
  </si>
  <si>
    <t>Chattogram GEC Store</t>
  </si>
  <si>
    <t>Chattogram Halishahar Store</t>
  </si>
  <si>
    <t>Chattogram Nasirabad Store</t>
  </si>
  <si>
    <t>Salesperson_ID</t>
  </si>
  <si>
    <t>Sales Man</t>
  </si>
  <si>
    <t>Chattogram Panchlaish Store</t>
  </si>
  <si>
    <t>SM-BAR-002</t>
  </si>
  <si>
    <t>Shaila Akter</t>
  </si>
  <si>
    <t>Chattogram Total</t>
  </si>
  <si>
    <t>SM-BAR-003</t>
  </si>
  <si>
    <t>Rasel Uddin</t>
  </si>
  <si>
    <t>Rangpur Central Road Store</t>
  </si>
  <si>
    <t>SM-CTG-004</t>
  </si>
  <si>
    <t>Shakib Ahmed</t>
  </si>
  <si>
    <t>Rangpur Dhap Store</t>
  </si>
  <si>
    <t>SM-CTG-005</t>
  </si>
  <si>
    <t>Nabila Mia</t>
  </si>
  <si>
    <t>Rangpur Jahaj Company Store</t>
  </si>
  <si>
    <t>SM-DHA-001</t>
  </si>
  <si>
    <t>Mahmud Hossain</t>
  </si>
  <si>
    <t>Rangpur Modern More Store</t>
  </si>
  <si>
    <t>SM-DHA-004</t>
  </si>
  <si>
    <t>Tania Sultana</t>
  </si>
  <si>
    <t>Rangpur Shapla Chattar Store</t>
  </si>
  <si>
    <t>SM-KHL-003</t>
  </si>
  <si>
    <t>Sadia Sultana</t>
  </si>
  <si>
    <t>Rangpur Total</t>
  </si>
  <si>
    <t>SM-KHL-006</t>
  </si>
  <si>
    <t>Fahim Uddin</t>
  </si>
  <si>
    <t>SM-MYM-004</t>
  </si>
  <si>
    <t>Fahim Hossain</t>
  </si>
  <si>
    <t>SM-RAJ-002</t>
  </si>
  <si>
    <t>Karim Khan</t>
  </si>
  <si>
    <t xml:space="preserve"> Sales</t>
  </si>
  <si>
    <t>SM-BAR-005</t>
  </si>
  <si>
    <t>Mehedi Khan</t>
  </si>
  <si>
    <t>SM-CTG-003</t>
  </si>
  <si>
    <t>Rafi Akter</t>
  </si>
  <si>
    <t>SM-DHA-005</t>
  </si>
  <si>
    <t>Imran Mia</t>
  </si>
  <si>
    <t>SM-KHL-002</t>
  </si>
  <si>
    <t>Nusrat Akter</t>
  </si>
  <si>
    <t>SM-MYM-001</t>
  </si>
  <si>
    <t>Sajib Rahman</t>
  </si>
  <si>
    <t>SM-MYM-002</t>
  </si>
  <si>
    <t>Rahim Rahman</t>
  </si>
  <si>
    <t>SM-MYM-006</t>
  </si>
  <si>
    <t>Tanvir Chowdhury</t>
  </si>
  <si>
    <t>SM-RAJ-006</t>
  </si>
  <si>
    <t>Mim Rahman</t>
  </si>
  <si>
    <t>SM-SYL-004</t>
  </si>
  <si>
    <t>Rasel Akter</t>
  </si>
  <si>
    <t>SM-SYL-006</t>
  </si>
  <si>
    <t>Rumana Rahman</t>
  </si>
  <si>
    <t>Total Orders</t>
  </si>
  <si>
    <t>Top 10 Salespersons Contribution to Total Sales</t>
  </si>
  <si>
    <t>Bottom 10 Salespersons Contribution to Total Sales</t>
  </si>
  <si>
    <t xml:space="preserve"> Sales_Amount</t>
  </si>
  <si>
    <t>Top 10 Store by Sales Performace Analysis</t>
  </si>
  <si>
    <t>Bottom 10 Stores by Sales Performance Analysis</t>
  </si>
  <si>
    <t>Interpretation note: target achievement is calculated as Sales ÷ Target; target gap is Target − Sales. Top/bottom tables are sorted from the source rows for quick review. All source sheets and existing dashboards remain available in this workbook.</t>
  </si>
  <si>
    <t>Total</t>
  </si>
  <si>
    <t>% of Total Sales</t>
  </si>
  <si>
    <t>Sales (BDT)</t>
  </si>
  <si>
    <t>Store</t>
  </si>
  <si>
    <t>Rank</t>
  </si>
  <si>
    <t>Bottom 10 Stores by Sales</t>
  </si>
  <si>
    <t>Top 10 Stores by Sales</t>
  </si>
  <si>
    <t>This organized view is intended for review, presentation, and follow-up analysis.</t>
  </si>
  <si>
    <t>Workbook status — original sheets and dashboards retained unchanged.</t>
  </si>
  <si>
    <t>Source — linked to the existing Analysis and Store Average Delivery Days sheets.</t>
  </si>
  <si>
    <t>Use with caution — ratings are grouped bands, not raw individual scores.</t>
  </si>
  <si>
    <t>Priority 3 — replicate Dhaka’s service and rating practices where relevant.</t>
  </si>
  <si>
    <t>Priority 2 — build target-recovery actions for Rangpur and Chattogram.</t>
  </si>
  <si>
    <t>Priority 1 — review Rangpur’s delivery speed and customer experience together.</t>
  </si>
  <si>
    <t>Should be 0</t>
  </si>
  <si>
    <t>OK</t>
  </si>
  <si>
    <t>Rating count</t>
  </si>
  <si>
    <t>Target total</t>
  </si>
  <si>
    <t>Sales total</t>
  </si>
  <si>
    <t>Notes</t>
  </si>
  <si>
    <t>Status</t>
  </si>
  <si>
    <t>Difference</t>
  </si>
  <si>
    <t>Check</t>
  </si>
  <si>
    <t>Salesperson</t>
  </si>
  <si>
    <t>Salesperson ID</t>
  </si>
  <si>
    <t>Checks and Recommendations</t>
  </si>
  <si>
    <t>Bottom 10 Salespeople</t>
  </si>
  <si>
    <t>Top 10 Salespeople</t>
  </si>
  <si>
    <t>4–5 Share</t>
  </si>
  <si>
    <t>4–5</t>
  </si>
  <si>
    <t>3–4</t>
  </si>
  <si>
    <t>2–3</t>
  </si>
  <si>
    <t>1–2</t>
  </si>
  <si>
    <t>Speed Rank</t>
  </si>
  <si>
    <t>Achievement</t>
  </si>
  <si>
    <t>Target Gap (BDT)</t>
  </si>
  <si>
    <t>Target (BDT)</t>
  </si>
  <si>
    <t>Customer Rating Profile by Region</t>
  </si>
  <si>
    <t>Delivery Efficiency — Fastest to Slowest</t>
  </si>
  <si>
    <t>Region Performance — Ranked by Sales</t>
  </si>
  <si>
    <t>• Commercial focus: prioritize the strongest stores and salespeople for repeatable practices, then investigate the lowest-performing locations and territories for targeted recovery plans.</t>
  </si>
  <si>
    <t>• Customer experience: Dhaka had the largest 4–5 rating share (63.3%), whereas Rangpur had the smallest (9.7%) and the highest 1–2 rating share (7.3%).</t>
  </si>
  <si>
    <t>• Service priority: Rangpur had the slowest average delivery time (6.43 days) and the weakest target attainment (86.96%); it should be the first operational review area.</t>
  </si>
  <si>
    <t>• Sales leadership: Barishal generated the highest regional sales (BDT 1.50M), while Dhaka achieved the strongest target attainment (94.34%).</t>
  </si>
  <si>
    <t>• Overall performance: sales reached 90.99% of target, leaving a BDT 1.03M shortfall against the BDT 11.40M target.</t>
  </si>
  <si>
    <t>Executive Summary and Action Priorities</t>
  </si>
  <si>
    <t>Target Achievement</t>
  </si>
  <si>
    <t>Total Target (BDT)</t>
  </si>
  <si>
    <t>Total Sales (BDT)</t>
  </si>
  <si>
    <t>Linked to the existing Analysis and Store Average Delivery Days sheets • Sales and targets shown in BDT • Rankings sorted for readability</t>
  </si>
  <si>
    <t>Region-wise Retail Sales Performance — Organized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</si>
</sst>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\-mm\-dd"/>
    <numFmt numFmtId="165" formatCode="0.0"/>
    <numFmt numFmtId="166" formatCode="[&gt;=1000000000]&quot;৳ &quot;0.0,,,&quot; B&quot;;[&gt;=1000000]&quot;৳ &quot;0.0,,&quot; M&quot;;&quot;৳ &quot;0.0,&quot; K&quot;"/>
    <numFmt numFmtId="167" formatCode=";;;"/>
    <numFmt numFmtId="168" formatCode="0.0%"/>
  </numFmts>
  <fonts count="17">
    <font>
      <sz val="11"/>
      <name val="Carlito"/>
    </font>
    <font>
      <b/>
      <sz val="11"/>
      <name val="Carlito"/>
    </font>
    <font>
      <sz val="9"/>
      <name val="Carlito"/>
    </font>
    <font>
      <sz val="9"/>
      <color theme="0"/>
      <name val="Carlito"/>
    </font>
    <font>
      <b/>
      <sz val="9"/>
      <color theme="0"/>
      <name val="Carlito"/>
    </font>
    <font>
      <sz val="8"/>
      <color rgb="FF000000"/>
      <name val="Segoe UI"/>
      <family val="2"/>
    </font>
    <font>
      <sz val="11"/>
      <color rgb="FF1F2D35"/>
      <name val="Aptos"/>
      <family val="2"/>
    </font>
    <font>
      <b/>
      <sz val="10"/>
      <color rgb="FF0F4B61"/>
      <name val="Aptos"/>
      <family val="2"/>
    </font>
    <font>
      <sz val="10"/>
      <color rgb="FF1F2D35"/>
      <name val="Aptos"/>
      <family val="2"/>
    </font>
    <font>
      <b/>
      <sz val="10"/>
      <color rgb="FFFFFFFF"/>
      <name val="Aptos"/>
      <family val="2"/>
    </font>
    <font>
      <b/>
      <sz val="11"/>
      <color rgb="FFFFFFFF"/>
      <name val="Aptos"/>
      <family val="2"/>
    </font>
    <font>
      <b/>
      <sz val="10"/>
      <color rgb="FF548235"/>
      <name val="Aptos"/>
      <family val="2"/>
    </font>
    <font>
      <b/>
      <sz val="10"/>
      <color rgb="FF1F2D35"/>
      <name val="Aptos"/>
      <family val="2"/>
    </font>
    <font>
      <b/>
      <sz val="16"/>
      <color rgb="FF0F4B61"/>
      <name val="Aptos"/>
      <family val="2"/>
    </font>
    <font>
      <i/>
      <sz val="10"/>
      <color rgb="FF5E6E76"/>
      <name val="Aptos"/>
      <family val="2"/>
    </font>
    <font>
      <b/>
      <sz val="17"/>
      <color rgb="FFFFFFFF"/>
      <name val="Aptos"/>
      <family val="2"/>
    </font>
    <font>
      <b/>
      <i/>
      <sz val="12"/>
      <color rgb="FF5E6E76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3F7"/>
      </patternFill>
    </fill>
    <fill>
      <patternFill patternType="solid">
        <fgColor rgb="FF0F7C96"/>
      </patternFill>
    </fill>
    <fill>
      <patternFill patternType="solid">
        <fgColor rgb="FF1B6B83"/>
      </patternFill>
    </fill>
    <fill>
      <patternFill patternType="solid">
        <fgColor rgb="FFF8FBF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0F4B61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 style="thin">
        <color rgb="FFC9D9E1"/>
      </right>
      <top/>
      <bottom style="thin">
        <color rgb="FFC9D9E1"/>
      </bottom>
      <diagonal/>
    </border>
    <border>
      <left/>
      <right/>
      <top/>
      <bottom style="thin">
        <color rgb="FFC9D9E1"/>
      </bottom>
      <diagonal/>
    </border>
    <border>
      <left style="thin">
        <color rgb="FFC9D9E1"/>
      </left>
      <right/>
      <top/>
      <bottom style="thin">
        <color rgb="FFC9D9E1"/>
      </bottom>
      <diagonal/>
    </border>
    <border>
      <left/>
      <right style="thin">
        <color rgb="FFC9D9E1"/>
      </right>
      <top style="thin">
        <color rgb="FFC9D9E1"/>
      </top>
      <bottom/>
      <diagonal/>
    </border>
    <border>
      <left/>
      <right/>
      <top style="thin">
        <color rgb="FFC9D9E1"/>
      </top>
      <bottom/>
      <diagonal/>
    </border>
    <border>
      <left style="thin">
        <color rgb="FFC9D9E1"/>
      </left>
      <right/>
      <top style="thin">
        <color rgb="FFC9D9E1"/>
      </top>
      <bottom/>
      <diagonal/>
    </border>
    <border>
      <left style="thin">
        <color rgb="FFC9D9E1"/>
      </left>
      <right style="thin">
        <color rgb="FFC9D9E1"/>
      </right>
      <top style="thin">
        <color rgb="FFC9D9E1"/>
      </top>
      <bottom style="thin">
        <color rgb="FFC9D9E1"/>
      </bottom>
      <diagonal/>
    </border>
    <border>
      <left/>
      <right style="medium">
        <color rgb="FF0F4B61"/>
      </right>
      <top style="medium">
        <color rgb="FF0F4B61"/>
      </top>
      <bottom style="medium">
        <color rgb="FF0F4B61"/>
      </bottom>
      <diagonal/>
    </border>
    <border>
      <left/>
      <right/>
      <top style="medium">
        <color rgb="FF0F4B61"/>
      </top>
      <bottom style="medium">
        <color rgb="FF0F4B61"/>
      </bottom>
      <diagonal/>
    </border>
    <border>
      <left style="medium">
        <color rgb="FF0F4B61"/>
      </left>
      <right/>
      <top style="medium">
        <color rgb="FF0F4B61"/>
      </top>
      <bottom style="medium">
        <color rgb="FF0F4B61"/>
      </bottom>
      <diagonal/>
    </border>
    <border>
      <left/>
      <right style="thin">
        <color rgb="FFC9D9E1"/>
      </right>
      <top/>
      <bottom/>
      <diagonal/>
    </border>
    <border>
      <left style="thin">
        <color rgb="FFC9D9E1"/>
      </left>
      <right/>
      <top/>
      <bottom/>
      <diagonal/>
    </border>
    <border>
      <left/>
      <right style="medium">
        <color rgb="FFC9D9E1"/>
      </right>
      <top/>
      <bottom style="medium">
        <color rgb="FFC9D9E1"/>
      </bottom>
      <diagonal/>
    </border>
    <border>
      <left/>
      <right/>
      <top/>
      <bottom style="medium">
        <color rgb="FFC9D9E1"/>
      </bottom>
      <diagonal/>
    </border>
    <border>
      <left style="medium">
        <color rgb="FFC9D9E1"/>
      </left>
      <right/>
      <top/>
      <bottom style="medium">
        <color rgb="FFC9D9E1"/>
      </bottom>
      <diagonal/>
    </border>
    <border>
      <left/>
      <right style="medium">
        <color rgb="FFC9D9E1"/>
      </right>
      <top style="medium">
        <color rgb="FFC9D9E1"/>
      </top>
      <bottom/>
      <diagonal/>
    </border>
    <border>
      <left/>
      <right/>
      <top style="medium">
        <color rgb="FFC9D9E1"/>
      </top>
      <bottom/>
      <diagonal/>
    </border>
    <border>
      <left style="medium">
        <color rgb="FFC9D9E1"/>
      </left>
      <right/>
      <top style="medium">
        <color rgb="FFC9D9E1"/>
      </top>
      <bottom/>
      <diagonal/>
    </border>
    <border>
      <left/>
      <right style="medium">
        <color rgb="FF0F4B61"/>
      </right>
      <top/>
      <bottom style="medium">
        <color rgb="FF0F4B61"/>
      </bottom>
      <diagonal/>
    </border>
    <border>
      <left/>
      <right/>
      <top/>
      <bottom style="medium">
        <color rgb="FF0F4B61"/>
      </bottom>
      <diagonal/>
    </border>
    <border>
      <left style="medium">
        <color rgb="FF0F4B61"/>
      </left>
      <right/>
      <top/>
      <bottom style="medium">
        <color rgb="FF0F4B61"/>
      </bottom>
      <diagonal/>
    </border>
    <border>
      <left/>
      <right style="medium">
        <color rgb="FF0F4B61"/>
      </right>
      <top style="medium">
        <color rgb="FF0F4B61"/>
      </top>
      <bottom/>
      <diagonal/>
    </border>
    <border>
      <left/>
      <right/>
      <top style="medium">
        <color rgb="FF0F4B61"/>
      </top>
      <bottom/>
      <diagonal/>
    </border>
    <border>
      <left style="medium">
        <color rgb="FF0F4B61"/>
      </left>
      <right/>
      <top style="medium">
        <color rgb="FF0F4B6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>
      <alignment vertical="top"/>
    </xf>
    <xf numFmtId="2" fontId="0" fillId="0" borderId="0" xfId="0" applyNumberFormat="1" applyAlignment="1">
      <alignment horizontal="center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0" xfId="0" applyFill="1"/>
    <xf numFmtId="0" fontId="1" fillId="0" borderId="0" xfId="0" applyFont="1"/>
    <xf numFmtId="0" fontId="0" fillId="3" borderId="0" xfId="0" applyFill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right"/>
    </xf>
    <xf numFmtId="167" fontId="0" fillId="0" borderId="0" xfId="0" applyNumberFormat="1"/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11" xfId="0" applyNumberFormat="1" applyFont="1" applyBorder="1" applyAlignment="1">
      <alignment horizontal="center"/>
    </xf>
    <xf numFmtId="166" fontId="4" fillId="4" borderId="14" xfId="0" applyNumberFormat="1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10" fontId="4" fillId="4" borderId="15" xfId="0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12" xfId="0" applyBorder="1"/>
    <xf numFmtId="166" fontId="0" fillId="0" borderId="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4" fillId="4" borderId="1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0" fontId="3" fillId="4" borderId="4" xfId="0" applyNumberFormat="1" applyFont="1" applyFill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4" borderId="0" xfId="0" applyFill="1"/>
    <xf numFmtId="166" fontId="2" fillId="0" borderId="5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0" fillId="5" borderId="0" xfId="0" applyFill="1"/>
    <xf numFmtId="0" fontId="6" fillId="0" borderId="0" xfId="0" applyFont="1"/>
    <xf numFmtId="168" fontId="7" fillId="6" borderId="23" xfId="0" applyNumberFormat="1" applyFont="1" applyFill="1" applyBorder="1" applyAlignment="1">
      <alignment horizontal="right" vertical="center"/>
    </xf>
    <xf numFmtId="3" fontId="7" fillId="6" borderId="23" xfId="0" applyNumberFormat="1" applyFont="1" applyFill="1" applyBorder="1" applyAlignment="1">
      <alignment horizontal="right" vertical="center"/>
    </xf>
    <xf numFmtId="0" fontId="7" fillId="6" borderId="23" xfId="0" applyFont="1" applyFill="1" applyBorder="1" applyAlignment="1">
      <alignment horizontal="left" vertical="center"/>
    </xf>
    <xf numFmtId="0" fontId="7" fillId="6" borderId="23" xfId="0" applyFont="1" applyFill="1" applyBorder="1" applyAlignment="1">
      <alignment vertical="center"/>
    </xf>
    <xf numFmtId="168" fontId="8" fillId="0" borderId="23" xfId="0" applyNumberFormat="1" applyFont="1" applyBorder="1" applyAlignment="1">
      <alignment horizontal="right" vertical="center"/>
    </xf>
    <xf numFmtId="3" fontId="8" fillId="0" borderId="23" xfId="0" applyNumberFormat="1" applyFont="1" applyBorder="1" applyAlignment="1">
      <alignment horizontal="right" vertical="center"/>
    </xf>
    <xf numFmtId="0" fontId="8" fillId="0" borderId="23" xfId="0" applyFont="1" applyBorder="1" applyAlignment="1">
      <alignment horizontal="left" vertical="center"/>
    </xf>
    <xf numFmtId="1" fontId="8" fillId="0" borderId="23" xfId="0" applyNumberFormat="1" applyFont="1" applyBorder="1" applyAlignment="1">
      <alignment vertical="center"/>
    </xf>
    <xf numFmtId="0" fontId="9" fillId="7" borderId="23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vertical="center" wrapText="1"/>
    </xf>
    <xf numFmtId="0" fontId="11" fillId="10" borderId="23" xfId="0" applyFont="1" applyFill="1" applyBorder="1" applyAlignment="1">
      <alignment horizontal="center" vertical="center" wrapText="1"/>
    </xf>
    <xf numFmtId="3" fontId="8" fillId="9" borderId="23" xfId="0" applyNumberFormat="1" applyFont="1" applyFill="1" applyBorder="1" applyAlignment="1">
      <alignment vertical="center" wrapText="1"/>
    </xf>
    <xf numFmtId="0" fontId="12" fillId="9" borderId="23" xfId="0" applyFont="1" applyFill="1" applyBorder="1" applyAlignment="1">
      <alignment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2" fontId="7" fillId="6" borderId="23" xfId="0" applyNumberFormat="1" applyFont="1" applyFill="1" applyBorder="1" applyAlignment="1">
      <alignment horizontal="right" vertical="center"/>
    </xf>
    <xf numFmtId="168" fontId="8" fillId="11" borderId="23" xfId="0" applyNumberFormat="1" applyFont="1" applyFill="1" applyBorder="1" applyAlignment="1">
      <alignment horizontal="right" vertical="center"/>
    </xf>
    <xf numFmtId="2" fontId="8" fillId="11" borderId="23" xfId="0" applyNumberFormat="1" applyFont="1" applyFill="1" applyBorder="1" applyAlignment="1">
      <alignment horizontal="right" vertical="center"/>
    </xf>
    <xf numFmtId="3" fontId="8" fillId="11" borderId="23" xfId="0" applyNumberFormat="1" applyFont="1" applyFill="1" applyBorder="1" applyAlignment="1">
      <alignment horizontal="right" vertical="center"/>
    </xf>
    <xf numFmtId="2" fontId="8" fillId="0" borderId="23" xfId="0" applyNumberFormat="1" applyFont="1" applyBorder="1" applyAlignment="1">
      <alignment horizontal="right" vertical="center"/>
    </xf>
    <xf numFmtId="2" fontId="8" fillId="10" borderId="23" xfId="0" applyNumberFormat="1" applyFont="1" applyFill="1" applyBorder="1" applyAlignment="1">
      <alignment horizontal="right" vertical="center"/>
    </xf>
    <xf numFmtId="3" fontId="8" fillId="10" borderId="23" xfId="0" applyNumberFormat="1" applyFont="1" applyFill="1" applyBorder="1" applyAlignment="1">
      <alignment horizontal="right" vertical="center"/>
    </xf>
    <xf numFmtId="168" fontId="8" fillId="10" borderId="23" xfId="0" applyNumberFormat="1" applyFont="1" applyFill="1" applyBorder="1" applyAlignment="1">
      <alignment horizontal="right" vertical="center"/>
    </xf>
    <xf numFmtId="0" fontId="16" fillId="6" borderId="22" xfId="0" applyFont="1" applyFill="1" applyBorder="1" applyAlignment="1">
      <alignment horizontal="left" vertical="center" wrapText="1"/>
    </xf>
    <xf numFmtId="0" fontId="16" fillId="6" borderId="21" xfId="0" applyFont="1" applyFill="1" applyBorder="1" applyAlignment="1">
      <alignment horizontal="left" vertical="center" wrapText="1"/>
    </xf>
    <xf numFmtId="0" fontId="16" fillId="6" borderId="20" xfId="0" applyFont="1" applyFill="1" applyBorder="1" applyAlignment="1">
      <alignment horizontal="left" vertical="center" wrapText="1"/>
    </xf>
    <xf numFmtId="0" fontId="16" fillId="6" borderId="19" xfId="0" applyFont="1" applyFill="1" applyBorder="1" applyAlignment="1">
      <alignment horizontal="left" vertical="center" wrapText="1"/>
    </xf>
    <xf numFmtId="0" fontId="16" fillId="6" borderId="18" xfId="0" applyFont="1" applyFill="1" applyBorder="1" applyAlignment="1">
      <alignment horizontal="left" vertical="center" wrapText="1"/>
    </xf>
    <xf numFmtId="0" fontId="16" fillId="6" borderId="17" xfId="0" applyFont="1" applyFill="1" applyBorder="1" applyAlignment="1">
      <alignment horizontal="left" vertical="center" wrapText="1"/>
    </xf>
    <xf numFmtId="0" fontId="8" fillId="9" borderId="28" xfId="0" applyFont="1" applyFill="1" applyBorder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8" fillId="9" borderId="27" xfId="0" applyFont="1" applyFill="1" applyBorder="1" applyAlignment="1">
      <alignment vertical="center" wrapText="1"/>
    </xf>
    <xf numFmtId="0" fontId="8" fillId="9" borderId="19" xfId="0" applyFont="1" applyFill="1" applyBorder="1" applyAlignment="1">
      <alignment vertical="center" wrapText="1"/>
    </xf>
    <xf numFmtId="0" fontId="8" fillId="9" borderId="18" xfId="0" applyFont="1" applyFill="1" applyBorder="1" applyAlignment="1">
      <alignment vertical="center" wrapText="1"/>
    </xf>
    <xf numFmtId="0" fontId="8" fillId="9" borderId="17" xfId="0" applyFont="1" applyFill="1" applyBorder="1" applyAlignment="1">
      <alignment vertical="center" wrapText="1"/>
    </xf>
    <xf numFmtId="0" fontId="10" fillId="8" borderId="26" xfId="0" applyFont="1" applyFill="1" applyBorder="1" applyAlignment="1">
      <alignment horizontal="left" vertical="center"/>
    </xf>
    <xf numFmtId="0" fontId="10" fillId="8" borderId="25" xfId="0" applyFont="1" applyFill="1" applyBorder="1" applyAlignment="1">
      <alignment horizontal="left" vertical="center"/>
    </xf>
    <xf numFmtId="0" fontId="10" fillId="8" borderId="24" xfId="0" applyFont="1" applyFill="1" applyBorder="1" applyAlignment="1">
      <alignment horizontal="left" vertical="center"/>
    </xf>
    <xf numFmtId="0" fontId="8" fillId="9" borderId="22" xfId="0" applyFont="1" applyFill="1" applyBorder="1" applyAlignment="1">
      <alignment vertical="center" wrapText="1"/>
    </xf>
    <xf numFmtId="0" fontId="8" fillId="9" borderId="21" xfId="0" applyFont="1" applyFill="1" applyBorder="1" applyAlignment="1">
      <alignment vertical="center" wrapText="1"/>
    </xf>
    <xf numFmtId="0" fontId="8" fillId="9" borderId="20" xfId="0" applyFont="1" applyFill="1" applyBorder="1" applyAlignment="1">
      <alignment vertical="center" wrapText="1"/>
    </xf>
    <xf numFmtId="0" fontId="9" fillId="8" borderId="26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3" fontId="13" fillId="12" borderId="34" xfId="0" applyNumberFormat="1" applyFont="1" applyFill="1" applyBorder="1" applyAlignment="1">
      <alignment horizontal="center" vertical="center"/>
    </xf>
    <xf numFmtId="0" fontId="13" fillId="12" borderId="33" xfId="0" applyFont="1" applyFill="1" applyBorder="1" applyAlignment="1">
      <alignment horizontal="center" vertical="center"/>
    </xf>
    <xf numFmtId="0" fontId="13" fillId="12" borderId="32" xfId="0" applyFont="1" applyFill="1" applyBorder="1" applyAlignment="1">
      <alignment horizontal="center" vertical="center"/>
    </xf>
    <xf numFmtId="0" fontId="13" fillId="12" borderId="31" xfId="0" applyFont="1" applyFill="1" applyBorder="1" applyAlignment="1">
      <alignment horizontal="center" vertical="center"/>
    </xf>
    <xf numFmtId="0" fontId="13" fillId="12" borderId="30" xfId="0" applyFont="1" applyFill="1" applyBorder="1" applyAlignment="1">
      <alignment horizontal="center" vertical="center"/>
    </xf>
    <xf numFmtId="0" fontId="13" fillId="12" borderId="29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 wrapText="1"/>
    </xf>
    <xf numFmtId="0" fontId="15" fillId="13" borderId="39" xfId="0" applyFont="1" applyFill="1" applyBorder="1" applyAlignment="1">
      <alignment horizontal="center" vertical="center" wrapText="1"/>
    </xf>
    <xf numFmtId="0" fontId="15" fillId="13" borderId="38" xfId="0" applyFont="1" applyFill="1" applyBorder="1" applyAlignment="1">
      <alignment horizontal="center" vertical="center" wrapText="1"/>
    </xf>
    <xf numFmtId="0" fontId="15" fillId="13" borderId="37" xfId="0" applyFont="1" applyFill="1" applyBorder="1" applyAlignment="1">
      <alignment horizontal="center" vertical="center" wrapText="1"/>
    </xf>
    <xf numFmtId="0" fontId="15" fillId="13" borderId="36" xfId="0" applyFont="1" applyFill="1" applyBorder="1" applyAlignment="1">
      <alignment horizontal="center" vertical="center" wrapText="1"/>
    </xf>
    <xf numFmtId="0" fontId="15" fillId="13" borderId="35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168" fontId="13" fillId="12" borderId="3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20"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numFmt numFmtId="2" formatCode="0.00"/>
    </dxf>
    <dxf>
      <alignment horizontal="center"/>
    </dxf>
    <dxf>
      <font>
        <sz val="9"/>
      </font>
      <numFmt numFmtId="166" formatCode="[&gt;=1000000000]&quot;৳ &quot;0.0,,,&quot; B&quot;;[&gt;=1000000]&quot;৳ &quot;0.0,,&quot; M&quot;;&quot;৳ &quot;0.0,&quot; K&quot;"/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/>
    </dxf>
    <dxf>
      <fill>
        <patternFill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ill>
        <patternFill>
          <fgColor theme="7" tint="-0.249977111117893"/>
        </patternFill>
      </fill>
    </dxf>
    <dxf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top/>
        <vertical/>
      </border>
    </dxf>
    <dxf>
      <border>
        <left/>
        <right/>
        <top/>
        <bottom/>
        <vertical/>
      </border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alignment horizontal="center"/>
    </dxf>
    <dxf>
      <alignment horizontal="right"/>
    </dxf>
    <dxf>
      <alignment horizontal="right"/>
    </dxf>
    <dxf>
      <alignment horizontal="right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top/>
        <vertical/>
      </border>
    </dxf>
    <dxf>
      <border>
        <left/>
        <right/>
        <top/>
        <bottom/>
        <vertical/>
      </border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ont>
        <sz val="9"/>
      </font>
      <numFmt numFmtId="166" formatCode="[&gt;=1000000000]&quot;৳ &quot;0.0,,,&quot; B&quot;;[&gt;=1000000]&quot;৳ &quot;0.0,,&quot; M&quot;;&quot;৳ &quot;0.0,&quot; K&quot;"/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/>
    </dxf>
    <dxf>
      <fill>
        <patternFill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ill>
        <patternFill>
          <fgColor theme="7" tint="-0.249977111117893"/>
        </patternFill>
      </fill>
    </dxf>
    <dxf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font>
        <sz val="9"/>
        <color theme="0"/>
      </font>
      <fill>
        <patternFill>
          <fgColor theme="7" tint="-0.249977111117893"/>
        </patternFill>
      </fill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top/>
        <vertical/>
      </border>
    </dxf>
    <dxf>
      <border>
        <left/>
        <right/>
        <top/>
        <bottom/>
        <vertical/>
      </border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ill>
        <patternFill>
          <fgColor indexed="64"/>
          <bgColor theme="7" tint="-0.249977111117893"/>
        </patternFill>
      </fill>
    </dxf>
    <dxf>
      <font>
        <b/>
      </font>
      <numFmt numFmtId="166" formatCode="[&gt;=1000000000]&quot;৳ &quot;0.0,,,&quot; B&quot;;[&gt;=1000000]&quot;৳ &quot;0.0,,&quot; M&quot;;&quot;৳ &quot;0.0,&quot; K&quot;"/>
    </dxf>
    <dxf>
      <font>
        <b/>
      </font>
      <numFmt numFmtId="166" formatCode="[&gt;=1000000000]&quot;৳ &quot;0.0,,,&quot; B&quot;;[&gt;=1000000]&quot;৳ &quot;0.0,,&quot; M&quot;;&quot;৳ &quot;0.0,&quot; K&quot;"/>
    </dxf>
    <dxf>
      <font>
        <sz val="9"/>
        <color theme="0"/>
      </font>
      <numFmt numFmtId="0" formatCode="General"/>
      <fill>
        <patternFill patternType="solid">
          <fgColor indexed="64"/>
          <bgColor theme="7" tint="-0.249977111117893"/>
        </patternFill>
      </fill>
    </dxf>
    <dxf>
      <numFmt numFmtId="166" formatCode="[&gt;=1000000000]&quot;৳ &quot;0.0,,,&quot; B&quot;;[&gt;=1000000]&quot;৳ &quot;0.0,,&quot; M&quot;;&quot;৳ &quot;0.0,&quot; K&quot;"/>
    </dxf>
    <dxf>
      <font>
        <sz val="9"/>
        <color theme="0"/>
      </font>
      <numFmt numFmtId="0" formatCode="General"/>
      <fill>
        <patternFill patternType="solid">
          <fgColor indexed="64"/>
          <bgColor theme="7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[&gt;=1000000000]&quot;৳ &quot;0.0,,,&quot; B&quot;;[&gt;=1000000]&quot;৳ &quot;0.0,,&quot; M&quot;;&quot;৳ &quot;0.0,&quot; K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[&gt;=1000000000]&quot;৳ &quot;0.0,,,&quot; B&quot;;[&gt;=1000000]&quot;৳ &quot;0.0,,&quot; M&quot;;&quot;৳ &quot;0.0,&quot; K&quot;"/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theme="0"/>
      </font>
      <numFmt numFmtId="0" formatCode="General"/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  <alignment horizontal="center"/>
    </dxf>
    <dxf>
      <numFmt numFmtId="2" formatCode="0.0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ill>
        <patternFill>
          <bgColor theme="6" tint="0.79998168889431442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alignment horizontal="center"/>
    </dxf>
    <dxf>
      <alignment horizontal="center"/>
    </dxf>
    <dxf>
      <fill>
        <patternFill>
          <fgColor indexed="64"/>
          <bgColor theme="7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font>
        <sz val="9"/>
        <color theme="0"/>
      </font>
      <fill>
        <patternFill>
          <fgColor theme="7" tint="-0.249977111117893"/>
        </patternFill>
      </fill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numFmt numFmtId="166" formatCode="[&gt;=1000000000]&quot;৳ &quot;0.0,,,&quot; B&quot;;[&gt;=1000000]&quot;৳ &quot;0.0,,&quot; M&quot;;&quot;৳ &quot;0.0,&quot; K&quot;"/>
    </dxf>
    <dxf>
      <alignment horizontal="center"/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6" tint="0.79998168889431442"/>
        </patternFill>
      </fill>
    </dxf>
    <dxf>
      <alignment horizontal="center"/>
    </dxf>
    <dxf>
      <numFmt numFmtId="14" formatCode="0.00%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6" formatCode="[&gt;=1000000000]&quot;৳ &quot;0.0,,,&quot; B&quot;;[&gt;=1000000]&quot;৳ &quot;0.0,,&quot; M&quot;;&quot;৳ &quot;0.0,&quot; K&quot;"/>
      <alignment horizontal="center"/>
    </dxf>
    <dxf>
      <font>
        <b val="0"/>
      </font>
    </dxf>
    <dxf>
      <font>
        <b val="0"/>
      </font>
    </dxf>
    <dxf>
      <font>
        <b val="0"/>
      </font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font>
        <sz val="9"/>
        <color theme="0"/>
      </font>
      <fill>
        <patternFill patternType="solid">
          <fgColor indexed="64"/>
          <bgColor theme="7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numFmt numFmtId="166" formatCode="[&gt;=1000000000]&quot;৳ &quot;0.0,,,&quot; B&quot;;[&gt;=1000000]&quot;৳ &quot;0.0,,&quot; M&quot;;&quot;৳ &quot;0.0,&quot; K&quot;"/>
      <alignment horizontal="center"/>
    </dxf>
    <dxf>
      <font>
        <b val="0"/>
      </font>
    </dxf>
    <dxf>
      <font>
        <b val="0"/>
      </font>
    </dxf>
    <dxf>
      <font>
        <b val="0"/>
      </font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alignment horizontal="center"/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Timeline Style 1" pivot="0" table="0" count="8" xr9:uid="{0F8AF922-EC85-4383-A319-9FC4B283B3A0}">
      <tableStyleElement type="wholeTable" dxfId="319"/>
      <tableStyleElement type="headerRow" dxfId="318"/>
    </tableStyle>
  </tableStyles>
  <colors>
    <mruColors>
      <color rgb="FFC89800"/>
      <color rgb="FFFFABAB"/>
      <color rgb="FFEF63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6197945368657E-2"/>
          <c:y val="0.13189441325531434"/>
          <c:w val="0.9388760410926269"/>
          <c:h val="0.7070846141977139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 w="120650">
              <a:solidFill>
                <a:schemeClr val="accent1"/>
              </a:solidFill>
              <a:miter lim="800000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'!$F$41:$F$50</c:f>
              <c:strCache>
                <c:ptCount val="10"/>
                <c:pt idx="0">
                  <c:v>Mehedi Khan</c:v>
                </c:pt>
                <c:pt idx="1">
                  <c:v>Rafi Akter</c:v>
                </c:pt>
                <c:pt idx="2">
                  <c:v>Imran Mia</c:v>
                </c:pt>
                <c:pt idx="3">
                  <c:v>Nusrat Akter</c:v>
                </c:pt>
                <c:pt idx="4">
                  <c:v>Sajib Rahman</c:v>
                </c:pt>
                <c:pt idx="5">
                  <c:v>Rahim Rahman</c:v>
                </c:pt>
                <c:pt idx="6">
                  <c:v>Tanvir Chowdhury</c:v>
                </c:pt>
                <c:pt idx="7">
                  <c:v>Mim Rahman</c:v>
                </c:pt>
                <c:pt idx="8">
                  <c:v>Rasel Akter</c:v>
                </c:pt>
                <c:pt idx="9">
                  <c:v>Rumana Rahman</c:v>
                </c:pt>
              </c:strCache>
            </c:strRef>
          </c:cat>
          <c:val>
            <c:numRef>
              <c:f>'Analysis '!$G$41:$G$50</c:f>
              <c:numCache>
                <c:formatCode>General</c:formatCode>
                <c:ptCount val="10"/>
                <c:pt idx="0">
                  <c:v>146490</c:v>
                </c:pt>
                <c:pt idx="1">
                  <c:v>132740</c:v>
                </c:pt>
                <c:pt idx="2">
                  <c:v>131450</c:v>
                </c:pt>
                <c:pt idx="3">
                  <c:v>146950</c:v>
                </c:pt>
                <c:pt idx="4">
                  <c:v>139790</c:v>
                </c:pt>
                <c:pt idx="5">
                  <c:v>117300</c:v>
                </c:pt>
                <c:pt idx="6">
                  <c:v>139570</c:v>
                </c:pt>
                <c:pt idx="7">
                  <c:v>144880</c:v>
                </c:pt>
                <c:pt idx="8">
                  <c:v>144970</c:v>
                </c:pt>
                <c:pt idx="9">
                  <c:v>114660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B82-9784-67B543D762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5350752"/>
        <c:axId val="385351232"/>
      </c:barChart>
      <c:catAx>
        <c:axId val="38535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51232"/>
        <c:crosses val="autoZero"/>
        <c:auto val="1"/>
        <c:lblAlgn val="ctr"/>
        <c:lblOffset val="100"/>
        <c:noMultiLvlLbl val="0"/>
      </c:catAx>
      <c:valAx>
        <c:axId val="385351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53507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Industry Region-wise Analysis.xlsx]Analysis 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26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dash"/>
          <c:size val="26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noFill/>
            <a:round/>
          </a:ln>
          <a:effectLst/>
        </c:spPr>
        <c:marker>
          <c:symbol val="dash"/>
          <c:size val="28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noFill/>
            <a:round/>
          </a:ln>
          <a:effectLst/>
        </c:spPr>
        <c:marker>
          <c:symbol val="dash"/>
          <c:size val="28"/>
          <c:spPr>
            <a:solidFill>
              <a:schemeClr val="accent2"/>
            </a:solidFill>
            <a:ln w="9525">
              <a:solidFill>
                <a:schemeClr val="accent2"/>
              </a:solidFill>
              <a:miter lim="800000"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997416420854291"/>
          <c:y val="0.32276552306561246"/>
          <c:w val="0.8024835419307581"/>
          <c:h val="0.551212558619135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'!$L$10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'Analysis '!$K$11:$K$19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'Analysis '!$L$11:$L$19</c:f>
              <c:numCache>
                <c:formatCode>[&gt;=1000000000]"৳ "0.0,,," B";[&gt;=1000000]"৳ "0.0,," M";"৳ "0.0," K"</c:formatCode>
                <c:ptCount val="8"/>
                <c:pt idx="0">
                  <c:v>1498090</c:v>
                </c:pt>
                <c:pt idx="1">
                  <c:v>1311820</c:v>
                </c:pt>
                <c:pt idx="2">
                  <c:v>1490960</c:v>
                </c:pt>
                <c:pt idx="3">
                  <c:v>1383370</c:v>
                </c:pt>
                <c:pt idx="4">
                  <c:v>1064080</c:v>
                </c:pt>
                <c:pt idx="5">
                  <c:v>1330400</c:v>
                </c:pt>
                <c:pt idx="6">
                  <c:v>1221030</c:v>
                </c:pt>
                <c:pt idx="7">
                  <c:v>1072720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F-477C-BED6-E715B17C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686830576"/>
        <c:axId val="686832496"/>
      </c:barChart>
      <c:lineChart>
        <c:grouping val="standard"/>
        <c:varyColors val="0"/>
        <c:ser>
          <c:idx val="1"/>
          <c:order val="1"/>
          <c:tx>
            <c:strRef>
              <c:f>'Analysis '!$M$10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2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miter lim="800000"/>
              </a:ln>
              <a:effectLst/>
            </c:spPr>
          </c:marker>
          <c:cat>
            <c:strRef>
              <c:f>'Analysis '!$K$11:$K$19</c:f>
              <c:strCache>
                <c:ptCount val="8"/>
                <c:pt idx="0">
                  <c:v>Barishal</c:v>
                </c:pt>
                <c:pt idx="1">
                  <c:v>Chattogram</c:v>
                </c:pt>
                <c:pt idx="2">
                  <c:v>Dhaka</c:v>
                </c:pt>
                <c:pt idx="3">
                  <c:v>Khulna</c:v>
                </c:pt>
                <c:pt idx="4">
                  <c:v>Mymensingh</c:v>
                </c:pt>
                <c:pt idx="5">
                  <c:v>Rajshahi</c:v>
                </c:pt>
                <c:pt idx="6">
                  <c:v>Rangpur</c:v>
                </c:pt>
                <c:pt idx="7">
                  <c:v>Sylhet</c:v>
                </c:pt>
              </c:strCache>
            </c:strRef>
          </c:cat>
          <c:val>
            <c:numRef>
              <c:f>'Analysis '!$M$11:$M$19</c:f>
              <c:numCache>
                <c:formatCode>[&gt;=1000000000]"৳ "0.0,,," B";[&gt;=1000000]"৳ "0.0,," M";"৳ "0.0," K"</c:formatCode>
                <c:ptCount val="8"/>
                <c:pt idx="0">
                  <c:v>1677860</c:v>
                </c:pt>
                <c:pt idx="1">
                  <c:v>1495472</c:v>
                </c:pt>
                <c:pt idx="2">
                  <c:v>1580413</c:v>
                </c:pt>
                <c:pt idx="3">
                  <c:v>1507877</c:v>
                </c:pt>
                <c:pt idx="4">
                  <c:v>1149207</c:v>
                </c:pt>
                <c:pt idx="5">
                  <c:v>1436830</c:v>
                </c:pt>
                <c:pt idx="6">
                  <c:v>1404174</c:v>
                </c:pt>
                <c:pt idx="7">
                  <c:v>1147816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F-477C-BED6-E715B17CD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6830576"/>
        <c:axId val="686832496"/>
      </c:lineChart>
      <c:catAx>
        <c:axId val="68683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32496"/>
        <c:crosses val="autoZero"/>
        <c:auto val="1"/>
        <c:lblAlgn val="ctr"/>
        <c:lblOffset val="100"/>
        <c:noMultiLvlLbl val="0"/>
      </c:catAx>
      <c:valAx>
        <c:axId val="686832496"/>
        <c:scaling>
          <c:orientation val="minMax"/>
        </c:scaling>
        <c:delete val="1"/>
        <c:axPos val="l"/>
        <c:numFmt formatCode="[&gt;=1000000000]&quot;৳ &quot;0.0,,,&quot; B&quot;;[&gt;=1000000]&quot;৳ &quot;0.0,,&quot; M&quot;;&quot;৳ &quot;0.0,&quot; K&quot;" sourceLinked="1"/>
        <c:majorTickMark val="none"/>
        <c:minorTickMark val="none"/>
        <c:tickLblPos val="nextTo"/>
        <c:crossAx val="68683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80878708250294828"/>
          <c:y val="0.14752012406505138"/>
          <c:w val="0.1596815265176072"/>
          <c:h val="0.10067928395422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Industry Region-wise Analysis.xlsx]Analysis !PivotTable5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4.5406441279103024E-2"/>
          <c:w val="0.88695643393632473"/>
          <c:h val="0.9001058291859733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'Analysis '!$I$10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'!$H$11:$H$19</c:f>
              <c:strCache>
                <c:ptCount val="8"/>
                <c:pt idx="0">
                  <c:v>Rangpur</c:v>
                </c:pt>
                <c:pt idx="1">
                  <c:v>Chattogram</c:v>
                </c:pt>
                <c:pt idx="2">
                  <c:v>Barishal</c:v>
                </c:pt>
                <c:pt idx="3">
                  <c:v>Mymensingh</c:v>
                </c:pt>
                <c:pt idx="4">
                  <c:v>Rajshahi</c:v>
                </c:pt>
                <c:pt idx="5">
                  <c:v>Sylhet</c:v>
                </c:pt>
                <c:pt idx="6">
                  <c:v>Khulna</c:v>
                </c:pt>
                <c:pt idx="7">
                  <c:v>Dhaka</c:v>
                </c:pt>
              </c:strCache>
            </c:strRef>
          </c:cat>
          <c:val>
            <c:numRef>
              <c:f>'Analysis '!$I$11:$I$19</c:f>
              <c:numCache>
                <c:formatCode>0.00</c:formatCode>
                <c:ptCount val="8"/>
                <c:pt idx="0">
                  <c:v>6.42741935483871</c:v>
                </c:pt>
                <c:pt idx="1">
                  <c:v>5.4566929133858268</c:v>
                </c:pt>
                <c:pt idx="2">
                  <c:v>5.3787878787878789</c:v>
                </c:pt>
                <c:pt idx="3">
                  <c:v>4.5641025641025639</c:v>
                </c:pt>
                <c:pt idx="4">
                  <c:v>4.2971014492753623</c:v>
                </c:pt>
                <c:pt idx="5">
                  <c:v>3.7884615384615383</c:v>
                </c:pt>
                <c:pt idx="6">
                  <c:v>3.7461538461538462</c:v>
                </c:pt>
                <c:pt idx="7">
                  <c:v>2.96875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E-435E-9185-2571ABA85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gapDepth val="39"/>
        <c:shape val="box"/>
        <c:axId val="865935455"/>
        <c:axId val="865942655"/>
        <c:axId val="0"/>
      </c:bar3DChart>
      <c:catAx>
        <c:axId val="865935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942655"/>
        <c:crosses val="autoZero"/>
        <c:auto val="1"/>
        <c:lblAlgn val="ctr"/>
        <c:lblOffset val="100"/>
        <c:noMultiLvlLbl val="0"/>
      </c:catAx>
      <c:valAx>
        <c:axId val="865942655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65935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Industry Region-wise Analysis.xlsx]Analysis !PivotTable3</c:name>
    <c:fmtId val="18"/>
  </c:pivotSource>
  <c:chart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ABA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5207997951482692E-2"/>
                  <c:h val="6.5558872687112787E-2"/>
                </c:manualLayout>
              </c15:layout>
            </c:ext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5207997951482692E-2"/>
                  <c:h val="6.5558872687112787E-2"/>
                </c:manualLayout>
              </c15:layout>
            </c:ext>
          </c:extLst>
        </c:dLbl>
      </c:pivotFmt>
      <c:pivotFmt>
        <c:idx val="7"/>
        <c:spPr>
          <a:solidFill>
            <a:srgbClr val="FFABA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5207997951482692E-2"/>
                  <c:h val="6.5558872687112787E-2"/>
                </c:manualLayout>
              </c15:layout>
            </c:ext>
          </c:extLst>
        </c:dLbl>
      </c:pivotFmt>
      <c:pivotFmt>
        <c:idx val="12"/>
        <c:spPr>
          <a:solidFill>
            <a:srgbClr val="FFABAB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898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336434364918927E-2"/>
          <c:y val="0.10695109421258617"/>
          <c:w val="0.8519774940638819"/>
          <c:h val="0.84053301488545251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'Analysis '!$I$25:$I$26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C380-4757-B935-45403C678078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207997951482692E-2"/>
                      <c:h val="6.55588726871127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380-4757-B935-45403C6780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'!$I$27:$I$34</c:f>
              <c:numCache>
                <c:formatCode>General</c:formatCode>
                <c:ptCount val="8"/>
                <c:pt idx="0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C-488B-AC62-3AE2F0220506}"/>
            </c:ext>
          </c:extLst>
        </c:ser>
        <c:ser>
          <c:idx val="1"/>
          <c:order val="1"/>
          <c:tx>
            <c:strRef>
              <c:f>'Analysis '!$J$25:$J$26</c:f>
              <c:strCache>
                <c:ptCount val="1"/>
                <c:pt idx="0">
                  <c:v>2-3</c:v>
                </c:pt>
              </c:strCache>
            </c:strRef>
          </c:tx>
          <c:spPr>
            <a:solidFill>
              <a:srgbClr val="FFABAB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'!$J$27:$J$34</c:f>
              <c:numCache>
                <c:formatCode>General</c:formatCode>
                <c:ptCount val="8"/>
                <c:pt idx="0">
                  <c:v>2</c:v>
                </c:pt>
                <c:pt idx="1">
                  <c:v>10</c:v>
                </c:pt>
                <c:pt idx="2">
                  <c:v>17</c:v>
                </c:pt>
                <c:pt idx="3">
                  <c:v>5</c:v>
                </c:pt>
                <c:pt idx="4">
                  <c:v>20</c:v>
                </c:pt>
                <c:pt idx="5">
                  <c:v>41</c:v>
                </c:pt>
                <c:pt idx="6">
                  <c:v>39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C-488B-AC62-3AE2F0220506}"/>
            </c:ext>
          </c:extLst>
        </c:ser>
        <c:ser>
          <c:idx val="2"/>
          <c:order val="2"/>
          <c:tx>
            <c:strRef>
              <c:f>'Analysis '!$K$25:$K$26</c:f>
              <c:strCache>
                <c:ptCount val="1"/>
                <c:pt idx="0">
                  <c:v>3-4</c:v>
                </c:pt>
              </c:strCache>
            </c:strRef>
          </c:tx>
          <c:spPr>
            <a:solidFill>
              <a:srgbClr val="C898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'!$K$27:$K$34</c:f>
              <c:numCache>
                <c:formatCode>General</c:formatCode>
                <c:ptCount val="8"/>
                <c:pt idx="0">
                  <c:v>44</c:v>
                </c:pt>
                <c:pt idx="1">
                  <c:v>65</c:v>
                </c:pt>
                <c:pt idx="2">
                  <c:v>74</c:v>
                </c:pt>
                <c:pt idx="3">
                  <c:v>58</c:v>
                </c:pt>
                <c:pt idx="4">
                  <c:v>58</c:v>
                </c:pt>
                <c:pt idx="5">
                  <c:v>66</c:v>
                </c:pt>
                <c:pt idx="6">
                  <c:v>64</c:v>
                </c:pt>
                <c:pt idx="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EC-488B-AC62-3AE2F0220506}"/>
            </c:ext>
          </c:extLst>
        </c:ser>
        <c:ser>
          <c:idx val="3"/>
          <c:order val="3"/>
          <c:tx>
            <c:strRef>
              <c:f>'Analysis '!$L$25:$L$26</c:f>
              <c:strCache>
                <c:ptCount val="1"/>
                <c:pt idx="0">
                  <c:v>4-5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'!$H$27:$H$34</c:f>
              <c:strCache>
                <c:ptCount val="8"/>
                <c:pt idx="0">
                  <c:v>Dhaka</c:v>
                </c:pt>
                <c:pt idx="1">
                  <c:v>Khulna</c:v>
                </c:pt>
                <c:pt idx="2">
                  <c:v>Rajshahi</c:v>
                </c:pt>
                <c:pt idx="3">
                  <c:v>Sylhet</c:v>
                </c:pt>
                <c:pt idx="4">
                  <c:v>Mymensingh</c:v>
                </c:pt>
                <c:pt idx="5">
                  <c:v>Barishal</c:v>
                </c:pt>
                <c:pt idx="6">
                  <c:v>Chattogram</c:v>
                </c:pt>
                <c:pt idx="7">
                  <c:v>Rangpur</c:v>
                </c:pt>
              </c:strCache>
            </c:strRef>
          </c:cat>
          <c:val>
            <c:numRef>
              <c:f>'Analysis '!$L$27:$L$34</c:f>
              <c:numCache>
                <c:formatCode>General</c:formatCode>
                <c:ptCount val="8"/>
                <c:pt idx="0">
                  <c:v>81</c:v>
                </c:pt>
                <c:pt idx="1">
                  <c:v>55</c:v>
                </c:pt>
                <c:pt idx="2">
                  <c:v>47</c:v>
                </c:pt>
                <c:pt idx="3">
                  <c:v>41</c:v>
                </c:pt>
                <c:pt idx="4">
                  <c:v>37</c:v>
                </c:pt>
                <c:pt idx="5">
                  <c:v>23</c:v>
                </c:pt>
                <c:pt idx="6">
                  <c:v>18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80-4757-B935-45403C6780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8"/>
        <c:gapDepth val="58"/>
        <c:shape val="box"/>
        <c:axId val="2071189535"/>
        <c:axId val="2071207295"/>
        <c:axId val="0"/>
      </c:bar3DChart>
      <c:catAx>
        <c:axId val="20711895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07295"/>
        <c:crosses val="autoZero"/>
        <c:auto val="1"/>
        <c:lblAlgn val="ctr"/>
        <c:lblOffset val="100"/>
        <c:noMultiLvlLbl val="0"/>
      </c:catAx>
      <c:valAx>
        <c:axId val="2071207295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207118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8586901995283187E-4"/>
          <c:y val="0.19336912619352978"/>
          <c:w val="6.4769406696652265E-2"/>
          <c:h val="0.712385978981173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008576940016663"/>
          <c:y val="5.2300967816691593E-2"/>
          <c:w val="0.68885338712983391"/>
          <c:h val="0.902341736115067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'!$O$42</c:f>
              <c:strCache>
                <c:ptCount val="1"/>
                <c:pt idx="0">
                  <c:v>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'!$N$43:$N$52</c:f>
              <c:strCache>
                <c:ptCount val="10"/>
                <c:pt idx="0">
                  <c:v>Rajshahi Kazla Store</c:v>
                </c:pt>
                <c:pt idx="1">
                  <c:v>Barishal Kawnia Store</c:v>
                </c:pt>
                <c:pt idx="2">
                  <c:v>Dhaka Dhanmondi Store</c:v>
                </c:pt>
                <c:pt idx="3">
                  <c:v>Chattogram Nasirabad Store</c:v>
                </c:pt>
                <c:pt idx="4">
                  <c:v>Khulna Shibbari Store</c:v>
                </c:pt>
                <c:pt idx="5">
                  <c:v>Barishal Rupatali Store</c:v>
                </c:pt>
                <c:pt idx="6">
                  <c:v>Chattogram Panchlaish Store</c:v>
                </c:pt>
                <c:pt idx="7">
                  <c:v>Khulna Boyra Store</c:v>
                </c:pt>
                <c:pt idx="8">
                  <c:v>Dhaka Uttara Store</c:v>
                </c:pt>
                <c:pt idx="9">
                  <c:v>Dhaka Mirpur Store</c:v>
                </c:pt>
              </c:strCache>
            </c:strRef>
          </c:cat>
          <c:val>
            <c:numRef>
              <c:f>'Analysis '!$O$43:$O$52</c:f>
              <c:numCache>
                <c:formatCode>[&gt;=1000000000]"৳ "0.0,,," B";[&gt;=1000000]"৳ "0.0,," M";"৳ "0.0," K"</c:formatCode>
                <c:ptCount val="10"/>
                <c:pt idx="0">
                  <c:v>442120</c:v>
                </c:pt>
                <c:pt idx="1">
                  <c:v>388430</c:v>
                </c:pt>
                <c:pt idx="2">
                  <c:v>374700</c:v>
                </c:pt>
                <c:pt idx="3">
                  <c:v>364560</c:v>
                </c:pt>
                <c:pt idx="4">
                  <c:v>350070</c:v>
                </c:pt>
                <c:pt idx="5">
                  <c:v>318770</c:v>
                </c:pt>
                <c:pt idx="6">
                  <c:v>310060</c:v>
                </c:pt>
                <c:pt idx="7">
                  <c:v>306700</c:v>
                </c:pt>
                <c:pt idx="8">
                  <c:v>301110</c:v>
                </c:pt>
                <c:pt idx="9">
                  <c:v>300800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5-444A-8380-2355D1FB438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4"/>
        <c:axId val="2075743055"/>
        <c:axId val="2075744015"/>
      </c:barChart>
      <c:catAx>
        <c:axId val="20757430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44015"/>
        <c:crosses val="autoZero"/>
        <c:auto val="1"/>
        <c:lblAlgn val="ctr"/>
        <c:lblOffset val="100"/>
        <c:noMultiLvlLbl val="0"/>
      </c:catAx>
      <c:valAx>
        <c:axId val="2075744015"/>
        <c:scaling>
          <c:orientation val="minMax"/>
        </c:scaling>
        <c:delete val="1"/>
        <c:axPos val="t"/>
        <c:numFmt formatCode="[&gt;=1000000000]&quot;৳ &quot;0.0,,,&quot; B&quot;;[&gt;=1000000]&quot;৳ &quot;0.0,,&quot; M&quot;;&quot;৳ &quot;0.0,&quot; K&quot;" sourceLinked="1"/>
        <c:majorTickMark val="none"/>
        <c:minorTickMark val="none"/>
        <c:tickLblPos val="nextTo"/>
        <c:crossAx val="207574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'Analysis '!$D$40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fmlaLink="'Analysis '!$M$40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Dashboard 2'!A1"/><Relationship Id="rId2" Type="http://schemas.openxmlformats.org/officeDocument/2006/relationships/hyperlink" Target="#'Dashboard 1'!A1"/><Relationship Id="rId1" Type="http://schemas.openxmlformats.org/officeDocument/2006/relationships/hyperlink" Target="#'Organized Analysis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2'!A1"/><Relationship Id="rId3" Type="http://schemas.openxmlformats.org/officeDocument/2006/relationships/chart" Target="../charts/chart1.xml"/><Relationship Id="rId7" Type="http://schemas.openxmlformats.org/officeDocument/2006/relationships/hyperlink" Target="#'Dashboard 1'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'Organized Analysis'!A1"/><Relationship Id="rId5" Type="http://schemas.openxmlformats.org/officeDocument/2006/relationships/image" Target="../media/image3.emf"/><Relationship Id="rId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Dashboard 1'!A1"/><Relationship Id="rId3" Type="http://schemas.openxmlformats.org/officeDocument/2006/relationships/chart" Target="../charts/chart3.xml"/><Relationship Id="rId7" Type="http://schemas.openxmlformats.org/officeDocument/2006/relationships/hyperlink" Target="#'Organized Analysis'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hyperlink" Target="#Details!A1"/><Relationship Id="rId4" Type="http://schemas.openxmlformats.org/officeDocument/2006/relationships/chart" Target="../charts/chart4.xml"/><Relationship Id="rId9" Type="http://schemas.openxmlformats.org/officeDocument/2006/relationships/hyperlink" Target="#'Dashboard 2'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13</xdr:col>
      <xdr:colOff>56444</xdr:colOff>
      <xdr:row>5</xdr:row>
      <xdr:rowOff>28222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" y="0"/>
          <a:ext cx="19159784" cy="904522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600" b="1"/>
            <a:t>Region-</a:t>
          </a:r>
          <a:r>
            <a:rPr lang="en-US" sz="3600" b="1" baseline="0"/>
            <a:t>wise Retail Sales Performance Analysis</a:t>
          </a:r>
        </a:p>
        <a:p>
          <a:pPr algn="ctr"/>
          <a:endParaRPr lang="en-US" sz="2000" b="1"/>
        </a:p>
      </xdr:txBody>
    </xdr:sp>
    <xdr:clientData/>
  </xdr:twoCellAnchor>
  <xdr:twoCellAnchor>
    <xdr:from>
      <xdr:col>0</xdr:col>
      <xdr:colOff>7620</xdr:colOff>
      <xdr:row>6</xdr:row>
      <xdr:rowOff>38100</xdr:rowOff>
    </xdr:from>
    <xdr:to>
      <xdr:col>4</xdr:col>
      <xdr:colOff>200025</xdr:colOff>
      <xdr:row>9</xdr:row>
      <xdr:rowOff>22860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620" y="1066800"/>
          <a:ext cx="4469130" cy="49911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Key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Perfomance Indicatiors</a:t>
          </a:r>
          <a:endParaRPr lang="en-US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14</xdr:row>
      <xdr:rowOff>114300</xdr:rowOff>
    </xdr:from>
    <xdr:to>
      <xdr:col>5</xdr:col>
      <xdr:colOff>66675</xdr:colOff>
      <xdr:row>17</xdr:row>
      <xdr:rowOff>99060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2514600"/>
          <a:ext cx="7534275" cy="49911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Region Wise Sales Performance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41204</xdr:colOff>
      <xdr:row>5</xdr:row>
      <xdr:rowOff>28222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9159784" cy="904522"/>
        </a:xfrm>
        <a:prstGeom prst="roundRect">
          <a:avLst/>
        </a:prstGeom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3600" b="1"/>
            <a:t>Region-</a:t>
          </a:r>
          <a:r>
            <a:rPr lang="en-US" sz="3600" b="1" baseline="0"/>
            <a:t>wise Retail Sales Performance Analysis</a:t>
          </a:r>
        </a:p>
        <a:p>
          <a:pPr algn="ctr"/>
          <a:endParaRPr lang="en-US" sz="2000" b="1"/>
        </a:p>
      </xdr:txBody>
    </xdr:sp>
    <xdr:clientData/>
  </xdr:twoCellAnchor>
  <xdr:twoCellAnchor>
    <xdr:from>
      <xdr:col>6</xdr:col>
      <xdr:colOff>100119</xdr:colOff>
      <xdr:row>5</xdr:row>
      <xdr:rowOff>102870</xdr:rowOff>
    </xdr:from>
    <xdr:to>
      <xdr:col>9</xdr:col>
      <xdr:colOff>652699</xdr:colOff>
      <xdr:row>8</xdr:row>
      <xdr:rowOff>91440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472594" y="960120"/>
          <a:ext cx="3838705" cy="50292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Average Delivery Days </a:t>
          </a:r>
          <a:endParaRPr lang="en-US" sz="16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28</xdr:row>
      <xdr:rowOff>86690</xdr:rowOff>
    </xdr:from>
    <xdr:to>
      <xdr:col>4</xdr:col>
      <xdr:colOff>714375</xdr:colOff>
      <xdr:row>31</xdr:row>
      <xdr:rowOff>73089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4887290"/>
          <a:ext cx="4991100" cy="500749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Sales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persons Performance Analysis (Top &amp; Bottom)</a:t>
          </a:r>
        </a:p>
      </xdr:txBody>
    </xdr:sp>
    <xdr:clientData/>
  </xdr:twoCellAnchor>
  <xdr:twoCellAnchor>
    <xdr:from>
      <xdr:col>10</xdr:col>
      <xdr:colOff>1266825</xdr:colOff>
      <xdr:row>5</xdr:row>
      <xdr:rowOff>123825</xdr:rowOff>
    </xdr:from>
    <xdr:to>
      <xdr:col>11</xdr:col>
      <xdr:colOff>2034860</xdr:colOff>
      <xdr:row>8</xdr:row>
      <xdr:rowOff>110224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4497050" y="981075"/>
          <a:ext cx="2806385" cy="500749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Retail Sales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vs Target</a:t>
          </a:r>
        </a:p>
      </xdr:txBody>
    </xdr:sp>
    <xdr:clientData/>
  </xdr:twoCellAnchor>
  <xdr:twoCellAnchor>
    <xdr:from>
      <xdr:col>7</xdr:col>
      <xdr:colOff>238125</xdr:colOff>
      <xdr:row>20</xdr:row>
      <xdr:rowOff>85725</xdr:rowOff>
    </xdr:from>
    <xdr:to>
      <xdr:col>11</xdr:col>
      <xdr:colOff>1891665</xdr:colOff>
      <xdr:row>23</xdr:row>
      <xdr:rowOff>70485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334500" y="3514725"/>
          <a:ext cx="7825740" cy="499110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Customer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Rating Summary</a:t>
          </a:r>
        </a:p>
      </xdr:txBody>
    </xdr:sp>
    <xdr:clientData/>
  </xdr:twoCellAnchor>
  <xdr:twoCellAnchor>
    <xdr:from>
      <xdr:col>7</xdr:col>
      <xdr:colOff>1828800</xdr:colOff>
      <xdr:row>34</xdr:row>
      <xdr:rowOff>110836</xdr:rowOff>
    </xdr:from>
    <xdr:to>
      <xdr:col>10</xdr:col>
      <xdr:colOff>1536253</xdr:colOff>
      <xdr:row>37</xdr:row>
      <xdr:rowOff>99407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970327" y="6234545"/>
          <a:ext cx="5166144" cy="528898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Top and Bottom Stores Sales Performances</a:t>
          </a:r>
        </a:p>
      </xdr:txBody>
    </xdr:sp>
    <xdr:clientData/>
  </xdr:twoCellAnchor>
  <xdr:twoCellAnchor>
    <xdr:from>
      <xdr:col>3</xdr:col>
      <xdr:colOff>1260928</xdr:colOff>
      <xdr:row>39</xdr:row>
      <xdr:rowOff>108857</xdr:rowOff>
    </xdr:from>
    <xdr:to>
      <xdr:col>6</xdr:col>
      <xdr:colOff>1016000</xdr:colOff>
      <xdr:row>52</xdr:row>
      <xdr:rowOff>99786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501571" y="6830786"/>
          <a:ext cx="5415643" cy="223157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16328</xdr:colOff>
      <xdr:row>40</xdr:row>
      <xdr:rowOff>88900</xdr:rowOff>
    </xdr:from>
    <xdr:to>
      <xdr:col>7</xdr:col>
      <xdr:colOff>97971</xdr:colOff>
      <xdr:row>53</xdr:row>
      <xdr:rowOff>79828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3653971" y="6983186"/>
          <a:ext cx="5415643" cy="2231571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36</xdr:row>
      <xdr:rowOff>45357</xdr:rowOff>
    </xdr:from>
    <xdr:to>
      <xdr:col>16</xdr:col>
      <xdr:colOff>217714</xdr:colOff>
      <xdr:row>53</xdr:row>
      <xdr:rowOff>81642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7680214" y="6250214"/>
          <a:ext cx="6050643" cy="2966357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0</xdr:row>
      <xdr:rowOff>91440</xdr:rowOff>
    </xdr:from>
    <xdr:to>
      <xdr:col>6</xdr:col>
      <xdr:colOff>1388366</xdr:colOff>
      <xdr:row>3</xdr:row>
      <xdr:rowOff>72729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933700" y="91440"/>
          <a:ext cx="3842006" cy="507069"/>
        </a:xfrm>
        <a:prstGeom prst="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t>Store-Wise Average Delivery Days Breakdown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275465</xdr:colOff>
      <xdr:row>25</xdr:row>
      <xdr:rowOff>16212</xdr:rowOff>
    </xdr:from>
    <xdr:to>
      <xdr:col>7</xdr:col>
      <xdr:colOff>460015</xdr:colOff>
      <xdr:row>45</xdr:row>
      <xdr:rowOff>163027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3CA5E2-289F-471B-9450-28B4F7775309}"/>
            </a:ext>
          </a:extLst>
        </xdr:cNvPr>
        <xdr:cNvSpPr/>
      </xdr:nvSpPr>
      <xdr:spPr>
        <a:xfrm>
          <a:off x="4263805" y="6631021"/>
          <a:ext cx="849274" cy="5010644"/>
        </a:xfrm>
        <a:prstGeom prst="roundRect">
          <a:avLst>
            <a:gd name="adj" fmla="val 50000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tx2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352260</xdr:colOff>
      <xdr:row>29</xdr:row>
      <xdr:rowOff>213761</xdr:rowOff>
    </xdr:from>
    <xdr:to>
      <xdr:col>7</xdr:col>
      <xdr:colOff>376418</xdr:colOff>
      <xdr:row>32</xdr:row>
      <xdr:rowOff>195555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CE74365-7E21-E7A3-BD14-BE007608AB51}"/>
            </a:ext>
          </a:extLst>
        </xdr:cNvPr>
        <xdr:cNvSpPr/>
      </xdr:nvSpPr>
      <xdr:spPr>
        <a:xfrm>
          <a:off x="4340600" y="7801335"/>
          <a:ext cx="688882" cy="71136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352260</xdr:colOff>
      <xdr:row>33</xdr:row>
      <xdr:rowOff>223908</xdr:rowOff>
    </xdr:from>
    <xdr:to>
      <xdr:col>7</xdr:col>
      <xdr:colOff>376418</xdr:colOff>
      <xdr:row>36</xdr:row>
      <xdr:rowOff>205702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E7D1153-42D8-439B-7D09-807FCBD348F6}"/>
            </a:ext>
          </a:extLst>
        </xdr:cNvPr>
        <xdr:cNvSpPr/>
      </xdr:nvSpPr>
      <xdr:spPr>
        <a:xfrm>
          <a:off x="4340600" y="8784248"/>
          <a:ext cx="688882" cy="71136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359667</xdr:colOff>
      <xdr:row>37</xdr:row>
      <xdr:rowOff>234054</xdr:rowOff>
    </xdr:from>
    <xdr:to>
      <xdr:col>7</xdr:col>
      <xdr:colOff>383825</xdr:colOff>
      <xdr:row>40</xdr:row>
      <xdr:rowOff>215848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0DBD646-46EE-3FFE-11C3-879AA54CF9F7}"/>
            </a:ext>
          </a:extLst>
        </xdr:cNvPr>
        <xdr:cNvSpPr/>
      </xdr:nvSpPr>
      <xdr:spPr>
        <a:xfrm>
          <a:off x="4348007" y="9767160"/>
          <a:ext cx="688882" cy="711369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567072</xdr:colOff>
      <xdr:row>30</xdr:row>
      <xdr:rowOff>184746</xdr:rowOff>
    </xdr:from>
    <xdr:to>
      <xdr:col>7</xdr:col>
      <xdr:colOff>183826</xdr:colOff>
      <xdr:row>32</xdr:row>
      <xdr:rowOff>4328</xdr:rowOff>
    </xdr:to>
    <xdr:sp macro="" textlink="">
      <xdr:nvSpPr>
        <xdr:cNvPr id="10" name="TextBox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8D5FDE-53CD-E4BA-53E3-37CC79FC176A}"/>
            </a:ext>
          </a:extLst>
        </xdr:cNvPr>
        <xdr:cNvSpPr txBox="1"/>
      </xdr:nvSpPr>
      <xdr:spPr>
        <a:xfrm>
          <a:off x="4555412" y="8015512"/>
          <a:ext cx="281478" cy="305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/>
            <a:t>1</a:t>
          </a:r>
          <a:endParaRPr lang="en-US" sz="4000"/>
        </a:p>
      </xdr:txBody>
    </xdr:sp>
    <xdr:clientData/>
  </xdr:twoCellAnchor>
  <xdr:twoCellAnchor>
    <xdr:from>
      <xdr:col>6</xdr:col>
      <xdr:colOff>567072</xdr:colOff>
      <xdr:row>34</xdr:row>
      <xdr:rowOff>206366</xdr:rowOff>
    </xdr:from>
    <xdr:to>
      <xdr:col>7</xdr:col>
      <xdr:colOff>183826</xdr:colOff>
      <xdr:row>36</xdr:row>
      <xdr:rowOff>25948</xdr:rowOff>
    </xdr:to>
    <xdr:sp macro="" textlink="">
      <xdr:nvSpPr>
        <xdr:cNvPr id="11" name="TextBox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D0D81F-3B8C-E62D-8553-F3ACCEBF7892}"/>
            </a:ext>
          </a:extLst>
        </xdr:cNvPr>
        <xdr:cNvSpPr txBox="1"/>
      </xdr:nvSpPr>
      <xdr:spPr>
        <a:xfrm>
          <a:off x="4555412" y="9009898"/>
          <a:ext cx="281478" cy="305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/>
            <a:t>2</a:t>
          </a:r>
        </a:p>
      </xdr:txBody>
    </xdr:sp>
    <xdr:clientData/>
  </xdr:twoCellAnchor>
  <xdr:twoCellAnchor>
    <xdr:from>
      <xdr:col>6</xdr:col>
      <xdr:colOff>567072</xdr:colOff>
      <xdr:row>38</xdr:row>
      <xdr:rowOff>205038</xdr:rowOff>
    </xdr:from>
    <xdr:to>
      <xdr:col>7</xdr:col>
      <xdr:colOff>183826</xdr:colOff>
      <xdr:row>40</xdr:row>
      <xdr:rowOff>24620</xdr:rowOff>
    </xdr:to>
    <xdr:sp macro="" textlink="">
      <xdr:nvSpPr>
        <xdr:cNvPr id="12" name="TextBox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C8AC943-7A44-C720-C593-751F0EF2A1F7}"/>
            </a:ext>
          </a:extLst>
        </xdr:cNvPr>
        <xdr:cNvSpPr txBox="1"/>
      </xdr:nvSpPr>
      <xdr:spPr>
        <a:xfrm>
          <a:off x="4555412" y="9981336"/>
          <a:ext cx="281478" cy="305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/>
            <a:t>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603627</xdr:colOff>
      <xdr:row>3</xdr:row>
      <xdr:rowOff>43926</xdr:rowOff>
    </xdr:from>
    <xdr:to>
      <xdr:col>21</xdr:col>
      <xdr:colOff>568398</xdr:colOff>
      <xdr:row>42</xdr:row>
      <xdr:rowOff>15437</xdr:rowOff>
    </xdr:to>
    <xdr:sp macro="" textlink="">
      <xdr:nvSpPr>
        <xdr:cNvPr id="2064" name="Rectangle: Rounded Corners 2063">
          <a:extLst>
            <a:ext uri="{FF2B5EF4-FFF2-40B4-BE49-F238E27FC236}">
              <a16:creationId xmlns:a16="http://schemas.microsoft.com/office/drawing/2014/main" id="{00000000-0008-0000-0200-000010080000}"/>
            </a:ext>
          </a:extLst>
        </xdr:cNvPr>
        <xdr:cNvSpPr/>
      </xdr:nvSpPr>
      <xdr:spPr>
        <a:xfrm>
          <a:off x="14605377" y="215376"/>
          <a:ext cx="631521" cy="6658061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</xdr:col>
      <xdr:colOff>187451</xdr:colOff>
      <xdr:row>2</xdr:row>
      <xdr:rowOff>142240</xdr:rowOff>
    </xdr:from>
    <xdr:to>
      <xdr:col>22</xdr:col>
      <xdr:colOff>276224</xdr:colOff>
      <xdr:row>43</xdr:row>
      <xdr:rowOff>76200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881032" y="496659"/>
          <a:ext cx="12883285" cy="7199541"/>
        </a:xfrm>
        <a:prstGeom prst="roundRect">
          <a:avLst>
            <a:gd name="adj" fmla="val 27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456055</xdr:colOff>
      <xdr:row>3</xdr:row>
      <xdr:rowOff>72501</xdr:rowOff>
    </xdr:from>
    <xdr:to>
      <xdr:col>5</xdr:col>
      <xdr:colOff>420826</xdr:colOff>
      <xdr:row>42</xdr:row>
      <xdr:rowOff>44012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83097" y="587656"/>
          <a:ext cx="630180" cy="6668525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153796</xdr:colOff>
      <xdr:row>3</xdr:row>
      <xdr:rowOff>104958</xdr:rowOff>
    </xdr:from>
    <xdr:to>
      <xdr:col>21</xdr:col>
      <xdr:colOff>587789</xdr:colOff>
      <xdr:row>39</xdr:row>
      <xdr:rowOff>9786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4154296" y="276408"/>
          <a:ext cx="11101993" cy="6077028"/>
        </a:xfrm>
        <a:prstGeom prst="roundRect">
          <a:avLst>
            <a:gd name="adj" fmla="val 2640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585197</xdr:colOff>
      <xdr:row>3</xdr:row>
      <xdr:rowOff>13932</xdr:rowOff>
    </xdr:from>
    <xdr:to>
      <xdr:col>21</xdr:col>
      <xdr:colOff>352439</xdr:colOff>
      <xdr:row>6</xdr:row>
      <xdr:rowOff>5978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937997" y="186652"/>
          <a:ext cx="11166762" cy="510206"/>
        </a:xfrm>
        <a:prstGeom prst="roundRect">
          <a:avLst>
            <a:gd name="adj" fmla="val 18477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655772</xdr:colOff>
      <xdr:row>15</xdr:row>
      <xdr:rowOff>8600</xdr:rowOff>
    </xdr:from>
    <xdr:to>
      <xdr:col>11</xdr:col>
      <xdr:colOff>252818</xdr:colOff>
      <xdr:row>27</xdr:row>
      <xdr:rowOff>91440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008572" y="2306792"/>
          <a:ext cx="4290966" cy="2204248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4</xdr:col>
      <xdr:colOff>655772</xdr:colOff>
      <xdr:row>28</xdr:row>
      <xdr:rowOff>171748</xdr:rowOff>
    </xdr:from>
    <xdr:to>
      <xdr:col>21</xdr:col>
      <xdr:colOff>259583</xdr:colOff>
      <xdr:row>41</xdr:row>
      <xdr:rowOff>154912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4026157" y="4743748"/>
          <a:ext cx="11063118" cy="2269164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360947</xdr:colOff>
      <xdr:row>15</xdr:row>
      <xdr:rowOff>8600</xdr:rowOff>
    </xdr:from>
    <xdr:to>
      <xdr:col>21</xdr:col>
      <xdr:colOff>256854</xdr:colOff>
      <xdr:row>27</xdr:row>
      <xdr:rowOff>138547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7750342" y="2565311"/>
          <a:ext cx="6613538" cy="2175315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3</xdr:col>
      <xdr:colOff>364877</xdr:colOff>
      <xdr:row>3</xdr:row>
      <xdr:rowOff>76172</xdr:rowOff>
    </xdr:from>
    <xdr:to>
      <xdr:col>4</xdr:col>
      <xdr:colOff>178793</xdr:colOff>
      <xdr:row>6</xdr:row>
      <xdr:rowOff>42487</xdr:rowOff>
    </xdr:to>
    <xdr:pic>
      <xdr:nvPicPr>
        <xdr:cNvPr id="32" name="Graphic 57" descr="Globe outlin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3065636" y="597033"/>
          <a:ext cx="489105" cy="487176"/>
        </a:xfrm>
        <a:prstGeom prst="rect">
          <a:avLst/>
        </a:prstGeom>
      </xdr:spPr>
    </xdr:pic>
    <xdr:clientData/>
  </xdr:twoCellAnchor>
  <xdr:twoCellAnchor>
    <xdr:from>
      <xdr:col>4</xdr:col>
      <xdr:colOff>661549</xdr:colOff>
      <xdr:row>7</xdr:row>
      <xdr:rowOff>25871</xdr:rowOff>
    </xdr:from>
    <xdr:to>
      <xdr:col>8</xdr:col>
      <xdr:colOff>23222</xdr:colOff>
      <xdr:row>13</xdr:row>
      <xdr:rowOff>159711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28526" y="1266336"/>
          <a:ext cx="2055254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136422</xdr:colOff>
      <xdr:row>7</xdr:row>
      <xdr:rowOff>25871</xdr:rowOff>
    </xdr:from>
    <xdr:to>
      <xdr:col>11</xdr:col>
      <xdr:colOff>171158</xdr:colOff>
      <xdr:row>13</xdr:row>
      <xdr:rowOff>159711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6196980" y="1266336"/>
          <a:ext cx="2054922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272021</xdr:colOff>
      <xdr:row>7</xdr:row>
      <xdr:rowOff>25871</xdr:rowOff>
    </xdr:from>
    <xdr:to>
      <xdr:col>14</xdr:col>
      <xdr:colOff>306757</xdr:colOff>
      <xdr:row>13</xdr:row>
      <xdr:rowOff>159711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8352765" y="1266336"/>
          <a:ext cx="2054922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14</xdr:col>
      <xdr:colOff>400711</xdr:colOff>
      <xdr:row>7</xdr:row>
      <xdr:rowOff>25871</xdr:rowOff>
    </xdr:from>
    <xdr:to>
      <xdr:col>17</xdr:col>
      <xdr:colOff>435446</xdr:colOff>
      <xdr:row>13</xdr:row>
      <xdr:rowOff>159711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10501641" y="1266336"/>
          <a:ext cx="2054921" cy="119709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246815</xdr:colOff>
      <xdr:row>10</xdr:row>
      <xdr:rowOff>31328</xdr:rowOff>
    </xdr:from>
    <xdr:to>
      <xdr:col>7</xdr:col>
      <xdr:colOff>348937</xdr:colOff>
      <xdr:row>12</xdr:row>
      <xdr:rowOff>69434</xdr:rowOff>
    </xdr:to>
    <xdr:sp macro="" textlink="'Analysis '!A12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4287187" y="1803421"/>
          <a:ext cx="1448913" cy="392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D2B310-A403-4A69-99EF-A650CA75319A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1.0 K</a:t>
          </a:fld>
          <a:endParaRPr lang="en-US" sz="2000" b="1"/>
        </a:p>
      </xdr:txBody>
    </xdr:sp>
    <xdr:clientData/>
  </xdr:twoCellAnchor>
  <xdr:twoCellAnchor>
    <xdr:from>
      <xdr:col>8</xdr:col>
      <xdr:colOff>353337</xdr:colOff>
      <xdr:row>10</xdr:row>
      <xdr:rowOff>47826</xdr:rowOff>
    </xdr:from>
    <xdr:to>
      <xdr:col>10</xdr:col>
      <xdr:colOff>455459</xdr:colOff>
      <xdr:row>12</xdr:row>
      <xdr:rowOff>88399</xdr:rowOff>
    </xdr:to>
    <xdr:sp macro="" textlink="'Analysis '!B12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6413895" y="1819919"/>
          <a:ext cx="1448913" cy="394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93FF6AC-4F15-4F78-8D57-615586BBF2C8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10.4 M</a:t>
          </a:fld>
          <a:endParaRPr lang="en-US" sz="2000" b="1"/>
        </a:p>
      </xdr:txBody>
    </xdr:sp>
    <xdr:clientData/>
  </xdr:twoCellAnchor>
  <xdr:twoCellAnchor>
    <xdr:from>
      <xdr:col>11</xdr:col>
      <xdr:colOff>570596</xdr:colOff>
      <xdr:row>10</xdr:row>
      <xdr:rowOff>30220</xdr:rowOff>
    </xdr:from>
    <xdr:to>
      <xdr:col>13</xdr:col>
      <xdr:colOff>672718</xdr:colOff>
      <xdr:row>12</xdr:row>
      <xdr:rowOff>70793</xdr:rowOff>
    </xdr:to>
    <xdr:sp macro="" textlink="'Analysis '!C12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8651340" y="1802313"/>
          <a:ext cx="1448913" cy="394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E8D077-B44F-4D66-B005-CE6043F4F955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11.4 M</a:t>
          </a:fld>
          <a:endParaRPr lang="en-US" sz="2000" b="1"/>
        </a:p>
      </xdr:txBody>
    </xdr:sp>
    <xdr:clientData/>
  </xdr:twoCellAnchor>
  <xdr:twoCellAnchor>
    <xdr:from>
      <xdr:col>14</xdr:col>
      <xdr:colOff>665435</xdr:colOff>
      <xdr:row>10</xdr:row>
      <xdr:rowOff>32371</xdr:rowOff>
    </xdr:from>
    <xdr:to>
      <xdr:col>17</xdr:col>
      <xdr:colOff>89065</xdr:colOff>
      <xdr:row>12</xdr:row>
      <xdr:rowOff>72944</xdr:rowOff>
    </xdr:to>
    <xdr:sp macro="" textlink="'Analysis '!D12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10766365" y="1804464"/>
          <a:ext cx="1443816" cy="394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2DE92AE-0BBC-4E3C-91CE-7055453B2834}" type="TxLink">
            <a:rPr lang="en-US" sz="2000" b="1" i="0" u="none" strike="noStrike">
              <a:solidFill>
                <a:srgbClr val="000000"/>
              </a:solidFill>
              <a:latin typeface="Carlito"/>
            </a:rPr>
            <a:pPr algn="ctr"/>
            <a:t>90.99%</a:t>
          </a:fld>
          <a:endParaRPr lang="en-US" sz="2000" b="1"/>
        </a:p>
      </xdr:txBody>
    </xdr:sp>
    <xdr:clientData/>
  </xdr:twoCellAnchor>
  <xdr:twoCellAnchor>
    <xdr:from>
      <xdr:col>5</xdr:col>
      <xdr:colOff>317342</xdr:colOff>
      <xdr:row>8</xdr:row>
      <xdr:rowOff>104098</xdr:rowOff>
    </xdr:from>
    <xdr:to>
      <xdr:col>7</xdr:col>
      <xdr:colOff>419464</xdr:colOff>
      <xdr:row>10</xdr:row>
      <xdr:rowOff>144672</xdr:rowOff>
    </xdr:to>
    <xdr:sp macro="" textlink="'Analysis '!A11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4357714" y="1521772"/>
          <a:ext cx="1448913" cy="394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434BCF-A3B3-4F4C-B8B6-4F150B3EBE8C}" type="TxLink">
            <a:rPr lang="en-US" sz="1600" b="0" i="0" u="none" strike="noStrike">
              <a:solidFill>
                <a:srgbClr val="000000"/>
              </a:solidFill>
              <a:latin typeface="Carlito"/>
            </a:rPr>
            <a:pPr algn="ctr"/>
            <a:t>Total Orders</a:t>
          </a:fld>
          <a:endParaRPr lang="en-US" sz="2000"/>
        </a:p>
      </xdr:txBody>
    </xdr:sp>
    <xdr:clientData/>
  </xdr:twoCellAnchor>
  <xdr:twoCellAnchor>
    <xdr:from>
      <xdr:col>8</xdr:col>
      <xdr:colOff>416989</xdr:colOff>
      <xdr:row>8</xdr:row>
      <xdr:rowOff>112320</xdr:rowOff>
    </xdr:from>
    <xdr:to>
      <xdr:col>10</xdr:col>
      <xdr:colOff>519111</xdr:colOff>
      <xdr:row>10</xdr:row>
      <xdr:rowOff>152894</xdr:rowOff>
    </xdr:to>
    <xdr:sp macro="" textlink="'Analysis '!B11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6477547" y="1529994"/>
          <a:ext cx="1448913" cy="394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72AC9D1-BAE3-452C-861E-9AF36AD35A70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Sales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582148</xdr:colOff>
      <xdr:row>8</xdr:row>
      <xdr:rowOff>103304</xdr:rowOff>
    </xdr:from>
    <xdr:to>
      <xdr:col>14</xdr:col>
      <xdr:colOff>5779</xdr:colOff>
      <xdr:row>10</xdr:row>
      <xdr:rowOff>143878</xdr:rowOff>
    </xdr:to>
    <xdr:sp macro="" textlink="'Analysis '!C11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8662892" y="1520978"/>
          <a:ext cx="1443817" cy="394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77999D0-AC80-4E28-BE9F-2CD3A8C3AEA8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Target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573385</xdr:colOff>
      <xdr:row>8</xdr:row>
      <xdr:rowOff>134717</xdr:rowOff>
    </xdr:from>
    <xdr:to>
      <xdr:col>17</xdr:col>
      <xdr:colOff>153589</xdr:colOff>
      <xdr:row>11</xdr:row>
      <xdr:rowOff>2149</xdr:rowOff>
    </xdr:to>
    <xdr:sp macro="" textlink="'Analysis '!D11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0674315" y="1552391"/>
          <a:ext cx="1600390" cy="399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05F92D-929F-4A4D-965A-D786DEBCBA23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 Target Achieved Ratio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26973</xdr:colOff>
      <xdr:row>16</xdr:row>
      <xdr:rowOff>163287</xdr:rowOff>
    </xdr:from>
    <xdr:to>
      <xdr:col>11</xdr:col>
      <xdr:colOff>272143</xdr:colOff>
      <xdr:row>27</xdr:row>
      <xdr:rowOff>70701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72907</xdr:colOff>
      <xdr:row>15</xdr:row>
      <xdr:rowOff>108720</xdr:rowOff>
    </xdr:from>
    <xdr:to>
      <xdr:col>9</xdr:col>
      <xdr:colOff>198438</xdr:colOff>
      <xdr:row>18</xdr:row>
      <xdr:rowOff>63500</xdr:rowOff>
    </xdr:to>
    <xdr:sp macro="" textlink="'Analysis '!D56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4073407" y="2378845"/>
          <a:ext cx="2792531" cy="478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A8D8C24-C443-43A6-B7BF-3F62AB9D390A}" type="TxLink">
            <a:rPr lang="en-US" sz="1000" b="1" i="0" u="none" strike="noStrike">
              <a:solidFill>
                <a:srgbClr val="000000"/>
              </a:solidFill>
              <a:latin typeface="Carlito"/>
            </a:rPr>
            <a:pPr algn="ctr"/>
            <a:t> </a:t>
          </a:fld>
          <a:endParaRPr lang="en-US" sz="2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213360</xdr:colOff>
          <xdr:row>16</xdr:row>
          <xdr:rowOff>60960</xdr:rowOff>
        </xdr:from>
        <xdr:to>
          <xdr:col>11</xdr:col>
          <xdr:colOff>22860</xdr:colOff>
          <xdr:row>17</xdr:row>
          <xdr:rowOff>106680</xdr:rowOff>
        </xdr:to>
        <xdr:sp macro="" textlink="">
          <xdr:nvSpPr>
            <xdr:cNvPr id="2089" name="Option Butto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3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129540</xdr:colOff>
          <xdr:row>16</xdr:row>
          <xdr:rowOff>53340</xdr:rowOff>
        </xdr:from>
        <xdr:to>
          <xdr:col>11</xdr:col>
          <xdr:colOff>655320</xdr:colOff>
          <xdr:row>17</xdr:row>
          <xdr:rowOff>99060</xdr:rowOff>
        </xdr:to>
        <xdr:sp macro="" textlink="">
          <xdr:nvSpPr>
            <xdr:cNvPr id="2092" name="Option Button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3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329184</xdr:colOff>
      <xdr:row>16</xdr:row>
      <xdr:rowOff>54864</xdr:rowOff>
    </xdr:from>
    <xdr:to>
      <xdr:col>10</xdr:col>
      <xdr:colOff>60960</xdr:colOff>
      <xdr:row>17</xdr:row>
      <xdr:rowOff>109728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 txBox="1"/>
      </xdr:nvSpPr>
      <xdr:spPr>
        <a:xfrm>
          <a:off x="7034784" y="2529840"/>
          <a:ext cx="402336" cy="231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Top	</a:t>
          </a:r>
        </a:p>
      </xdr:txBody>
    </xdr:sp>
    <xdr:clientData/>
  </xdr:twoCellAnchor>
  <xdr:twoCellAnchor>
    <xdr:from>
      <xdr:col>9</xdr:col>
      <xdr:colOff>444567</xdr:colOff>
      <xdr:row>28</xdr:row>
      <xdr:rowOff>65555</xdr:rowOff>
    </xdr:from>
    <xdr:to>
      <xdr:col>16</xdr:col>
      <xdr:colOff>43855</xdr:colOff>
      <xdr:row>30</xdr:row>
      <xdr:rowOff>106195</xdr:rowOff>
    </xdr:to>
    <xdr:sp macro="" textlink="'Analysis '!D56">
      <xdr:nvSpPr>
        <xdr:cNvPr id="62" name="TextBox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7163277" y="4883361"/>
          <a:ext cx="4302384" cy="384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rlito"/>
            </a:rPr>
            <a:t>Region Sales and</a:t>
          </a:r>
          <a:r>
            <a:rPr lang="en-US" sz="1200" b="1" i="0" u="none" strike="noStrike" baseline="0">
              <a:solidFill>
                <a:srgbClr val="000000"/>
              </a:solidFill>
              <a:latin typeface="Carlito"/>
            </a:rPr>
            <a:t> Target Achieved Ratio</a:t>
          </a:r>
          <a:endParaRPr lang="en-US" sz="3600" b="1"/>
        </a:p>
      </xdr:txBody>
    </xdr:sp>
    <xdr:clientData/>
  </xdr:twoCellAnchor>
  <xdr:twoCellAnchor>
    <xdr:from>
      <xdr:col>11</xdr:col>
      <xdr:colOff>397567</xdr:colOff>
      <xdr:row>12</xdr:row>
      <xdr:rowOff>78154</xdr:rowOff>
    </xdr:from>
    <xdr:to>
      <xdr:col>21</xdr:col>
      <xdr:colOff>178371</xdr:colOff>
      <xdr:row>27</xdr:row>
      <xdr:rowOff>99392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243567</xdr:colOff>
      <xdr:row>14</xdr:row>
      <xdr:rowOff>117952</xdr:rowOff>
    </xdr:from>
    <xdr:to>
      <xdr:col>18</xdr:col>
      <xdr:colOff>309188</xdr:colOff>
      <xdr:row>17</xdr:row>
      <xdr:rowOff>26113</xdr:rowOff>
    </xdr:to>
    <xdr:sp macro="" textlink="'Analysis '!D56">
      <xdr:nvSpPr>
        <xdr:cNvPr id="2048" name="TextBox 2047">
          <a:extLst>
            <a:ext uri="{FF2B5EF4-FFF2-40B4-BE49-F238E27FC236}">
              <a16:creationId xmlns:a16="http://schemas.microsoft.com/office/drawing/2014/main" id="{00000000-0008-0000-0200-000000080000}"/>
            </a:ext>
          </a:extLst>
        </xdr:cNvPr>
        <xdr:cNvSpPr txBox="1"/>
      </xdr:nvSpPr>
      <xdr:spPr>
        <a:xfrm>
          <a:off x="10354721" y="2228106"/>
          <a:ext cx="2761929" cy="4356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Carlito"/>
            </a:rPr>
            <a:t>Region Sales vs Target </a:t>
          </a:r>
          <a:endParaRPr lang="en-US" sz="24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459154</xdr:colOff>
          <xdr:row>30</xdr:row>
          <xdr:rowOff>32721</xdr:rowOff>
        </xdr:from>
        <xdr:to>
          <xdr:col>20</xdr:col>
          <xdr:colOff>420078</xdr:colOff>
          <xdr:row>41</xdr:row>
          <xdr:rowOff>74949</xdr:rowOff>
        </xdr:to>
        <xdr:pic>
          <xdr:nvPicPr>
            <xdr:cNvPr id="2061" name="Picture 2060">
              <a:extLs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Analysis '!$A$19:$E$27" spid="_x0000_s224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4503616" y="4956413"/>
              <a:ext cx="10072077" cy="197653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35891</xdr:colOff>
      <xdr:row>3</xdr:row>
      <xdr:rowOff>64880</xdr:rowOff>
    </xdr:from>
    <xdr:to>
      <xdr:col>23</xdr:col>
      <xdr:colOff>46475</xdr:colOff>
      <xdr:row>6</xdr:row>
      <xdr:rowOff>64880</xdr:rowOff>
    </xdr:to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SpPr txBox="1"/>
      </xdr:nvSpPr>
      <xdr:spPr>
        <a:xfrm>
          <a:off x="4061239" y="586684"/>
          <a:ext cx="12086627" cy="521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0">
              <a:solidFill>
                <a:schemeClr val="tx2">
                  <a:lumMod val="90000"/>
                  <a:lumOff val="10000"/>
                </a:schemeClr>
              </a:solidFill>
            </a:rPr>
            <a:t>Retail Industry Region Wise Sales Performance Dashboard</a:t>
          </a:r>
        </a:p>
      </xdr:txBody>
    </xdr:sp>
    <xdr:clientData/>
  </xdr:twoCellAnchor>
  <xdr:twoCellAnchor>
    <xdr:from>
      <xdr:col>21</xdr:col>
      <xdr:colOff>251548</xdr:colOff>
      <xdr:row>3</xdr:row>
      <xdr:rowOff>104699</xdr:rowOff>
    </xdr:from>
    <xdr:to>
      <xdr:col>21</xdr:col>
      <xdr:colOff>618476</xdr:colOff>
      <xdr:row>42</xdr:row>
      <xdr:rowOff>76210</xdr:rowOff>
    </xdr:to>
    <xdr:sp macro="" textlink="">
      <xdr:nvSpPr>
        <xdr:cNvPr id="2066" name="Rectangle: Rounded Corners 2065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SpPr/>
      </xdr:nvSpPr>
      <xdr:spPr>
        <a:xfrm>
          <a:off x="14890534" y="619854"/>
          <a:ext cx="366928" cy="6668525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17</xdr:col>
      <xdr:colOff>513310</xdr:colOff>
      <xdr:row>6</xdr:row>
      <xdr:rowOff>168239</xdr:rowOff>
    </xdr:from>
    <xdr:to>
      <xdr:col>21</xdr:col>
      <xdr:colOff>323022</xdr:colOff>
      <xdr:row>13</xdr:row>
      <xdr:rowOff>131796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062" name="Order_Date">
              <a:extLs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34426" y="1231495"/>
              <a:ext cx="2503293" cy="12040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4</xdr:col>
      <xdr:colOff>633431</xdr:colOff>
      <xdr:row>15</xdr:row>
      <xdr:rowOff>117951</xdr:rowOff>
    </xdr:from>
    <xdr:to>
      <xdr:col>9</xdr:col>
      <xdr:colOff>25658</xdr:colOff>
      <xdr:row>18</xdr:row>
      <xdr:rowOff>26113</xdr:rowOff>
    </xdr:to>
    <xdr:sp macro="" textlink="'Analysis '!D56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4000408" y="2776091"/>
          <a:ext cx="2759203" cy="439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 i="0" u="none" strike="noStrike">
              <a:solidFill>
                <a:srgbClr val="000000"/>
              </a:solidFill>
              <a:latin typeface="Carlito"/>
            </a:rPr>
            <a:t>Top 10 and Bottom Salesperson Performances</a:t>
          </a:r>
          <a:endParaRPr lang="en-US" sz="2400" b="1"/>
        </a:p>
      </xdr:txBody>
    </xdr:sp>
    <xdr:clientData/>
  </xdr:twoCellAnchor>
  <xdr:twoCellAnchor>
    <xdr:from>
      <xdr:col>3</xdr:col>
      <xdr:colOff>301254</xdr:colOff>
      <xdr:row>10</xdr:row>
      <xdr:rowOff>168838</xdr:rowOff>
    </xdr:from>
    <xdr:to>
      <xdr:col>4</xdr:col>
      <xdr:colOff>413060</xdr:colOff>
      <xdr:row>36</xdr:row>
      <xdr:rowOff>47582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3ADB78B7-93A1-7EAF-0D47-B836BA4CDB23}"/>
            </a:ext>
          </a:extLst>
        </xdr:cNvPr>
        <xdr:cNvSpPr/>
      </xdr:nvSpPr>
      <xdr:spPr>
        <a:xfrm>
          <a:off x="2994835" y="1940931"/>
          <a:ext cx="785202" cy="4486186"/>
        </a:xfrm>
        <a:prstGeom prst="roundRect">
          <a:avLst>
            <a:gd name="adj" fmla="val 50000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tx2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372255</xdr:colOff>
      <xdr:row>16</xdr:row>
      <xdr:rowOff>153401</xdr:rowOff>
    </xdr:from>
    <xdr:to>
      <xdr:col>4</xdr:col>
      <xdr:colOff>335769</xdr:colOff>
      <xdr:row>20</xdr:row>
      <xdr:rowOff>81475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CF5D973-6BAA-3F8D-C52E-B824B35A0FA9}"/>
            </a:ext>
          </a:extLst>
        </xdr:cNvPr>
        <xdr:cNvSpPr/>
      </xdr:nvSpPr>
      <xdr:spPr>
        <a:xfrm>
          <a:off x="3065836" y="2988750"/>
          <a:ext cx="636910" cy="6369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372255</xdr:colOff>
      <xdr:row>21</xdr:row>
      <xdr:rowOff>147387</xdr:rowOff>
    </xdr:from>
    <xdr:to>
      <xdr:col>4</xdr:col>
      <xdr:colOff>335769</xdr:colOff>
      <xdr:row>25</xdr:row>
      <xdr:rowOff>75460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893E7BB-99B7-FEF2-DFB9-73FBB6B8A475}"/>
            </a:ext>
          </a:extLst>
        </xdr:cNvPr>
        <xdr:cNvSpPr/>
      </xdr:nvSpPr>
      <xdr:spPr>
        <a:xfrm>
          <a:off x="3065836" y="3868782"/>
          <a:ext cx="636910" cy="6369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379104</xdr:colOff>
      <xdr:row>26</xdr:row>
      <xdr:rowOff>141372</xdr:rowOff>
    </xdr:from>
    <xdr:to>
      <xdr:col>4</xdr:col>
      <xdr:colOff>342618</xdr:colOff>
      <xdr:row>30</xdr:row>
      <xdr:rowOff>69446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0DA5D11-1F9D-9646-AA1A-B800F7D03A5C}"/>
            </a:ext>
          </a:extLst>
        </xdr:cNvPr>
        <xdr:cNvSpPr/>
      </xdr:nvSpPr>
      <xdr:spPr>
        <a:xfrm>
          <a:off x="3072685" y="4748814"/>
          <a:ext cx="636910" cy="6369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570862</xdr:colOff>
      <xdr:row>17</xdr:row>
      <xdr:rowOff>167951</xdr:rowOff>
    </xdr:from>
    <xdr:to>
      <xdr:col>4</xdr:col>
      <xdr:colOff>157709</xdr:colOff>
      <xdr:row>19</xdr:row>
      <xdr:rowOff>87472</xdr:rowOff>
    </xdr:to>
    <xdr:sp macro="" textlink="">
      <xdr:nvSpPr>
        <xdr:cNvPr id="31" name="TextBox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55A859-D263-9D50-35AB-1677D56DA8E5}"/>
            </a:ext>
          </a:extLst>
        </xdr:cNvPr>
        <xdr:cNvSpPr txBox="1"/>
      </xdr:nvSpPr>
      <xdr:spPr>
        <a:xfrm>
          <a:off x="3264443" y="3180509"/>
          <a:ext cx="260243" cy="27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1</a:t>
          </a:r>
          <a:endParaRPr lang="en-US" sz="4000"/>
        </a:p>
      </xdr:txBody>
    </xdr:sp>
    <xdr:clientData/>
  </xdr:twoCellAnchor>
  <xdr:twoCellAnchor>
    <xdr:from>
      <xdr:col>3</xdr:col>
      <xdr:colOff>570862</xdr:colOff>
      <xdr:row>22</xdr:row>
      <xdr:rowOff>172209</xdr:rowOff>
    </xdr:from>
    <xdr:to>
      <xdr:col>4</xdr:col>
      <xdr:colOff>157709</xdr:colOff>
      <xdr:row>24</xdr:row>
      <xdr:rowOff>91731</xdr:rowOff>
    </xdr:to>
    <xdr:sp macro="" textlink="">
      <xdr:nvSpPr>
        <xdr:cNvPr id="37" name="TextBox 3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2DBA43C-E6B1-B773-301A-E07A452B1759}"/>
            </a:ext>
          </a:extLst>
        </xdr:cNvPr>
        <xdr:cNvSpPr txBox="1"/>
      </xdr:nvSpPr>
      <xdr:spPr>
        <a:xfrm>
          <a:off x="3264443" y="4070814"/>
          <a:ext cx="260243" cy="27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2</a:t>
          </a:r>
        </a:p>
      </xdr:txBody>
    </xdr:sp>
    <xdr:clientData/>
  </xdr:twoCellAnchor>
  <xdr:twoCellAnchor>
    <xdr:from>
      <xdr:col>3</xdr:col>
      <xdr:colOff>570862</xdr:colOff>
      <xdr:row>27</xdr:row>
      <xdr:rowOff>155922</xdr:rowOff>
    </xdr:from>
    <xdr:to>
      <xdr:col>4</xdr:col>
      <xdr:colOff>157709</xdr:colOff>
      <xdr:row>29</xdr:row>
      <xdr:rowOff>75443</xdr:rowOff>
    </xdr:to>
    <xdr:sp macro="" textlink="">
      <xdr:nvSpPr>
        <xdr:cNvPr id="40" name="TextBox 3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663DF50-48B1-2D16-6070-5B2664BC605B}"/>
            </a:ext>
          </a:extLst>
        </xdr:cNvPr>
        <xdr:cNvSpPr txBox="1"/>
      </xdr:nvSpPr>
      <xdr:spPr>
        <a:xfrm>
          <a:off x="3264443" y="4940573"/>
          <a:ext cx="260243" cy="27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3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457200</xdr:colOff>
          <xdr:row>30</xdr:row>
          <xdr:rowOff>30480</xdr:rowOff>
        </xdr:from>
        <xdr:to>
          <xdr:col>20</xdr:col>
          <xdr:colOff>419100</xdr:colOff>
          <xdr:row>41</xdr:row>
          <xdr:rowOff>76200</xdr:rowOff>
        </xdr:to>
        <xdr:pic>
          <xdr:nvPicPr>
            <xdr:cNvPr id="2232" name="Picture 2060">
              <a:extLst>
                <a:ext uri="{FF2B5EF4-FFF2-40B4-BE49-F238E27FC236}">
                  <a16:creationId xmlns:a16="http://schemas.microsoft.com/office/drawing/2014/main" id="{E8DFDB19-946D-8769-5559-68BEFAF5EB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Analysis '!$A$19:$E$27" spid="_x0000_s224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3810000" y="5288280"/>
              <a:ext cx="10020300" cy="19735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4534</xdr:rowOff>
    </xdr:from>
    <xdr:to>
      <xdr:col>24</xdr:col>
      <xdr:colOff>362414</xdr:colOff>
      <xdr:row>47</xdr:row>
      <xdr:rowOff>22860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07220" y="1417022"/>
          <a:ext cx="13074804" cy="6904204"/>
        </a:xfrm>
        <a:prstGeom prst="roundRect">
          <a:avLst>
            <a:gd name="adj" fmla="val 2736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64655</xdr:colOff>
      <xdr:row>8</xdr:row>
      <xdr:rowOff>44412</xdr:rowOff>
    </xdr:from>
    <xdr:to>
      <xdr:col>7</xdr:col>
      <xdr:colOff>29426</xdr:colOff>
      <xdr:row>46</xdr:row>
      <xdr:rowOff>91468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085612" y="1457977"/>
          <a:ext cx="1312075" cy="6761491"/>
        </a:xfrm>
        <a:prstGeom prst="roundRect">
          <a:avLst>
            <a:gd name="adj" fmla="val 10766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133004</xdr:colOff>
      <xdr:row>11</xdr:row>
      <xdr:rowOff>120766</xdr:rowOff>
    </xdr:from>
    <xdr:to>
      <xdr:col>23</xdr:col>
      <xdr:colOff>570807</xdr:colOff>
      <xdr:row>46</xdr:row>
      <xdr:rowOff>110376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489433" y="2016695"/>
          <a:ext cx="11178374" cy="6022110"/>
        </a:xfrm>
        <a:prstGeom prst="roundRect">
          <a:avLst>
            <a:gd name="adj" fmla="val 2640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127997</xdr:colOff>
      <xdr:row>8</xdr:row>
      <xdr:rowOff>44412</xdr:rowOff>
    </xdr:from>
    <xdr:to>
      <xdr:col>23</xdr:col>
      <xdr:colOff>565799</xdr:colOff>
      <xdr:row>11</xdr:row>
      <xdr:rowOff>28838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98557" y="44412"/>
          <a:ext cx="11166762" cy="510206"/>
        </a:xfrm>
        <a:prstGeom prst="roundRect">
          <a:avLst>
            <a:gd name="adj" fmla="val 18477"/>
          </a:avLst>
        </a:prstGeom>
        <a:solidFill>
          <a:srgbClr val="F7F7F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198573</xdr:colOff>
      <xdr:row>20</xdr:row>
      <xdr:rowOff>8601</xdr:rowOff>
    </xdr:from>
    <xdr:to>
      <xdr:col>18</xdr:col>
      <xdr:colOff>469604</xdr:colOff>
      <xdr:row>32</xdr:row>
      <xdr:rowOff>127001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3548024" y="3525524"/>
          <a:ext cx="7639822" cy="2228554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198570</xdr:colOff>
      <xdr:row>33</xdr:row>
      <xdr:rowOff>27215</xdr:rowOff>
    </xdr:from>
    <xdr:to>
      <xdr:col>18</xdr:col>
      <xdr:colOff>455543</xdr:colOff>
      <xdr:row>45</xdr:row>
      <xdr:rowOff>132302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3548021" y="5830138"/>
          <a:ext cx="7625764" cy="2215241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18</xdr:col>
      <xdr:colOff>568605</xdr:colOff>
      <xdr:row>20</xdr:row>
      <xdr:rowOff>8602</xdr:rowOff>
    </xdr:from>
    <xdr:to>
      <xdr:col>23</xdr:col>
      <xdr:colOff>585438</xdr:colOff>
      <xdr:row>45</xdr:row>
      <xdr:rowOff>159488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11273776" y="3539822"/>
          <a:ext cx="3362199" cy="4564910"/>
        </a:xfrm>
        <a:prstGeom prst="roundRect">
          <a:avLst>
            <a:gd name="adj" fmla="val 4244"/>
          </a:avLst>
        </a:prstGeom>
        <a:solidFill>
          <a:srgbClr val="FFFFFF"/>
        </a:solidFill>
        <a:ln>
          <a:noFill/>
        </a:ln>
        <a:scene3d>
          <a:camera prst="orthographicFront"/>
          <a:lightRig rig="threePt" dir="t"/>
        </a:scene3d>
        <a:sp3d>
          <a:bevelB prst="angl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5</xdr:col>
      <xdr:colOff>139173</xdr:colOff>
      <xdr:row>8</xdr:row>
      <xdr:rowOff>106652</xdr:rowOff>
    </xdr:from>
    <xdr:to>
      <xdr:col>5</xdr:col>
      <xdr:colOff>623648</xdr:colOff>
      <xdr:row>11</xdr:row>
      <xdr:rowOff>65347</xdr:rowOff>
    </xdr:to>
    <xdr:pic>
      <xdr:nvPicPr>
        <xdr:cNvPr id="16" name="Graphic 57" descr="Globe outlin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39173" y="106652"/>
          <a:ext cx="484475" cy="484475"/>
        </a:xfrm>
        <a:prstGeom prst="rect">
          <a:avLst/>
        </a:prstGeom>
      </xdr:spPr>
    </xdr:pic>
    <xdr:clientData/>
  </xdr:twoCellAnchor>
  <xdr:twoCellAnchor>
    <xdr:from>
      <xdr:col>7</xdr:col>
      <xdr:colOff>217713</xdr:colOff>
      <xdr:row>12</xdr:row>
      <xdr:rowOff>36286</xdr:rowOff>
    </xdr:from>
    <xdr:to>
      <xdr:col>10</xdr:col>
      <xdr:colOff>251503</xdr:colOff>
      <xdr:row>19</xdr:row>
      <xdr:rowOff>7235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4901225" y="2155018"/>
          <a:ext cx="2041010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363919</xdr:colOff>
      <xdr:row>12</xdr:row>
      <xdr:rowOff>36286</xdr:rowOff>
    </xdr:from>
    <xdr:to>
      <xdr:col>13</xdr:col>
      <xdr:colOff>397380</xdr:colOff>
      <xdr:row>19</xdr:row>
      <xdr:rowOff>7235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7054651" y="2155018"/>
          <a:ext cx="2040680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13</xdr:col>
      <xdr:colOff>497545</xdr:colOff>
      <xdr:row>12</xdr:row>
      <xdr:rowOff>36286</xdr:rowOff>
    </xdr:from>
    <xdr:to>
      <xdr:col>16</xdr:col>
      <xdr:colOff>531005</xdr:colOff>
      <xdr:row>19</xdr:row>
      <xdr:rowOff>7235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9195496" y="2155018"/>
          <a:ext cx="2040680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16</xdr:col>
      <xdr:colOff>624308</xdr:colOff>
      <xdr:row>12</xdr:row>
      <xdr:rowOff>36286</xdr:rowOff>
    </xdr:from>
    <xdr:to>
      <xdr:col>19</xdr:col>
      <xdr:colOff>657768</xdr:colOff>
      <xdr:row>19</xdr:row>
      <xdr:rowOff>7235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1329479" y="2155018"/>
          <a:ext cx="2040679" cy="1206876"/>
        </a:xfrm>
        <a:prstGeom prst="roundRect">
          <a:avLst>
            <a:gd name="adj" fmla="val 956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474582</xdr:colOff>
      <xdr:row>15</xdr:row>
      <xdr:rowOff>48076</xdr:rowOff>
    </xdr:from>
    <xdr:to>
      <xdr:col>9</xdr:col>
      <xdr:colOff>575306</xdr:colOff>
      <xdr:row>17</xdr:row>
      <xdr:rowOff>90686</xdr:rowOff>
    </xdr:to>
    <xdr:sp macro="" textlink="'Analysis '!A12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5158094" y="2696491"/>
          <a:ext cx="1438871" cy="395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BD2B310-A403-4A69-99EF-A650CA75319A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1.0 K</a:t>
          </a:fld>
          <a:endParaRPr lang="en-US" sz="2000" b="1"/>
        </a:p>
      </xdr:txBody>
    </xdr:sp>
    <xdr:clientData/>
  </xdr:twoCellAnchor>
  <xdr:twoCellAnchor>
    <xdr:from>
      <xdr:col>10</xdr:col>
      <xdr:colOff>579331</xdr:colOff>
      <xdr:row>15</xdr:row>
      <xdr:rowOff>64708</xdr:rowOff>
    </xdr:from>
    <xdr:to>
      <xdr:col>13</xdr:col>
      <xdr:colOff>10983</xdr:colOff>
      <xdr:row>17</xdr:row>
      <xdr:rowOff>109805</xdr:rowOff>
    </xdr:to>
    <xdr:sp macro="" textlink="'Analysis '!B12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7270063" y="2713123"/>
          <a:ext cx="1438871" cy="398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93FF6AC-4F15-4F78-8D57-615586BBF2C8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10.4 M</a:t>
          </a:fld>
          <a:endParaRPr lang="en-US" sz="2000" b="1"/>
        </a:p>
      </xdr:txBody>
    </xdr:sp>
    <xdr:clientData/>
  </xdr:twoCellAnchor>
  <xdr:twoCellAnchor>
    <xdr:from>
      <xdr:col>14</xdr:col>
      <xdr:colOff>124977</xdr:colOff>
      <xdr:row>15</xdr:row>
      <xdr:rowOff>46958</xdr:rowOff>
    </xdr:from>
    <xdr:to>
      <xdr:col>16</xdr:col>
      <xdr:colOff>225701</xdr:colOff>
      <xdr:row>17</xdr:row>
      <xdr:rowOff>92055</xdr:rowOff>
    </xdr:to>
    <xdr:sp macro="" textlink="'Analysis '!C12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9492001" y="2695373"/>
          <a:ext cx="1438871" cy="398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3E8D077-B44F-4D66-B005-CE6043F4F955}" type="TxLink">
            <a:rPr lang="as-IN" sz="2000" b="1" i="0" u="none" strike="noStrike">
              <a:solidFill>
                <a:srgbClr val="000000"/>
              </a:solidFill>
              <a:latin typeface="Carlito"/>
            </a:rPr>
            <a:pPr algn="ctr"/>
            <a:t>৳ 11.4 M</a:t>
          </a:fld>
          <a:endParaRPr lang="en-US" sz="2000" b="1"/>
        </a:p>
      </xdr:txBody>
    </xdr:sp>
    <xdr:clientData/>
  </xdr:twoCellAnchor>
  <xdr:twoCellAnchor>
    <xdr:from>
      <xdr:col>17</xdr:col>
      <xdr:colOff>218123</xdr:colOff>
      <xdr:row>15</xdr:row>
      <xdr:rowOff>49127</xdr:rowOff>
    </xdr:from>
    <xdr:to>
      <xdr:col>19</xdr:col>
      <xdr:colOff>313787</xdr:colOff>
      <xdr:row>17</xdr:row>
      <xdr:rowOff>94224</xdr:rowOff>
    </xdr:to>
    <xdr:sp macro="" textlink="'Analysis '!D12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11592367" y="2697542"/>
          <a:ext cx="1433810" cy="3982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2DE92AE-0BBC-4E3C-91CE-7055453B2834}" type="TxLink">
            <a:rPr lang="en-US" sz="2000" b="1" i="0" u="none" strike="noStrike">
              <a:solidFill>
                <a:srgbClr val="000000"/>
              </a:solidFill>
              <a:latin typeface="Carlito"/>
            </a:rPr>
            <a:pPr algn="ctr"/>
            <a:t>90.99%</a:t>
          </a:fld>
          <a:endParaRPr lang="en-US" sz="2000" b="1"/>
        </a:p>
      </xdr:txBody>
    </xdr:sp>
    <xdr:clientData/>
  </xdr:twoCellAnchor>
  <xdr:twoCellAnchor>
    <xdr:from>
      <xdr:col>7</xdr:col>
      <xdr:colOff>544619</xdr:colOff>
      <xdr:row>13</xdr:row>
      <xdr:rowOff>117248</xdr:rowOff>
    </xdr:from>
    <xdr:to>
      <xdr:col>9</xdr:col>
      <xdr:colOff>645343</xdr:colOff>
      <xdr:row>15</xdr:row>
      <xdr:rowOff>162346</xdr:rowOff>
    </xdr:to>
    <xdr:sp macro="" textlink="'Analysis '!A11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228131" y="2412541"/>
          <a:ext cx="1438871" cy="3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3434BCF-A3B3-4F4C-B8B6-4F150B3EBE8C}" type="TxLink">
            <a:rPr lang="en-US" sz="1600" b="0" i="0" u="none" strike="noStrike">
              <a:solidFill>
                <a:srgbClr val="000000"/>
              </a:solidFill>
              <a:latin typeface="Carlito"/>
            </a:rPr>
            <a:pPr algn="ctr"/>
            <a:t>Total Orders</a:t>
          </a:fld>
          <a:endParaRPr lang="en-US" sz="2000" b="0"/>
        </a:p>
      </xdr:txBody>
    </xdr:sp>
    <xdr:clientData/>
  </xdr:twoCellAnchor>
  <xdr:twoCellAnchor>
    <xdr:from>
      <xdr:col>10</xdr:col>
      <xdr:colOff>642542</xdr:colOff>
      <xdr:row>13</xdr:row>
      <xdr:rowOff>125537</xdr:rowOff>
    </xdr:from>
    <xdr:to>
      <xdr:col>13</xdr:col>
      <xdr:colOff>74194</xdr:colOff>
      <xdr:row>15</xdr:row>
      <xdr:rowOff>170635</xdr:rowOff>
    </xdr:to>
    <xdr:sp macro="" textlink="'Analysis '!B11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7333274" y="2420830"/>
          <a:ext cx="1438871" cy="3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72AC9D1-BAE3-452C-861E-9AF36AD35A70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Sales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136449</xdr:colOff>
      <xdr:row>13</xdr:row>
      <xdr:rowOff>116448</xdr:rowOff>
    </xdr:from>
    <xdr:to>
      <xdr:col>16</xdr:col>
      <xdr:colOff>232113</xdr:colOff>
      <xdr:row>15</xdr:row>
      <xdr:rowOff>161546</xdr:rowOff>
    </xdr:to>
    <xdr:sp macro="" textlink="'Analysis '!C11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9503473" y="2411741"/>
          <a:ext cx="1433811" cy="398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77999D0-AC80-4E28-BE9F-2CD3A8C3AEA8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Total Target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126712</xdr:colOff>
      <xdr:row>13</xdr:row>
      <xdr:rowOff>148117</xdr:rowOff>
    </xdr:from>
    <xdr:to>
      <xdr:col>19</xdr:col>
      <xdr:colOff>377865</xdr:colOff>
      <xdr:row>16</xdr:row>
      <xdr:rowOff>20755</xdr:rowOff>
    </xdr:to>
    <xdr:sp macro="" textlink="'Analysis '!D11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1500956" y="2443410"/>
          <a:ext cx="1589299" cy="4023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605F92D-929F-4A4D-965A-D786DEBCBA23}" type="TxLink">
            <a:rPr lang="en-US" sz="1600" b="0" i="0" u="none" strike="noStrike">
              <a:solidFill>
                <a:srgbClr val="000000"/>
              </a:solidFill>
              <a:latin typeface="Carlito"/>
              <a:ea typeface="+mn-ea"/>
              <a:cs typeface="+mn-cs"/>
            </a:rPr>
            <a:pPr marL="0" indent="0" algn="ctr"/>
            <a:t> Target Achieved Ratio</a:t>
          </a:fld>
          <a:endParaRPr lang="en-US" sz="1600" b="0" i="0" u="none" strike="noStrike">
            <a:solidFill>
              <a:srgbClr val="000000"/>
            </a:solidFill>
            <a:latin typeface="Carlito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451883</xdr:colOff>
      <xdr:row>21</xdr:row>
      <xdr:rowOff>88605</xdr:rowOff>
    </xdr:from>
    <xdr:to>
      <xdr:col>18</xdr:col>
      <xdr:colOff>402166</xdr:colOff>
      <xdr:row>33</xdr:row>
      <xdr:rowOff>15086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127000</xdr:colOff>
      <xdr:row>33</xdr:row>
      <xdr:rowOff>100850</xdr:rowOff>
    </xdr:from>
    <xdr:to>
      <xdr:col>18</xdr:col>
      <xdr:colOff>452987</xdr:colOff>
      <xdr:row>45</xdr:row>
      <xdr:rowOff>132586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443022</xdr:colOff>
      <xdr:row>29</xdr:row>
      <xdr:rowOff>124045</xdr:rowOff>
    </xdr:from>
    <xdr:to>
      <xdr:col>8</xdr:col>
      <xdr:colOff>381000</xdr:colOff>
      <xdr:row>31</xdr:row>
      <xdr:rowOff>53162</xdr:rowOff>
    </xdr:to>
    <xdr:sp macro="" textlink="">
      <xdr:nvSpPr>
        <xdr:cNvPr id="32" name="Rectangle: Rounded Corners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3809999" y="5263115"/>
          <a:ext cx="611373" cy="283535"/>
        </a:xfrm>
        <a:prstGeom prst="roundRect">
          <a:avLst/>
        </a:prstGeom>
        <a:effectLst>
          <a:glow>
            <a:schemeClr val="accent1">
              <a:alpha val="99000"/>
            </a:schemeClr>
          </a:glow>
          <a:reflection stA="95000" endPos="0" dir="5400000" sy="-100000" algn="bl" rotWithShape="0"/>
          <a:softEdge rad="0"/>
        </a:effectLst>
        <a:scene3d>
          <a:camera prst="orthographicFront"/>
          <a:lightRig rig="threePt" dir="t"/>
        </a:scene3d>
        <a:sp3d extrusionH="76200" contourW="12700" prstMaterial="dkEdge">
          <a:bevelB w="139700" h="139700" prst="divot"/>
          <a:extrusionClr>
            <a:schemeClr val="tx2">
              <a:lumMod val="75000"/>
              <a:lumOff val="25000"/>
            </a:schemeClr>
          </a:extrusionClr>
          <a:contourClr>
            <a:schemeClr val="bg1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Details</a:t>
          </a:r>
        </a:p>
      </xdr:txBody>
    </xdr:sp>
    <xdr:clientData/>
  </xdr:twoCellAnchor>
  <xdr:twoCellAnchor>
    <xdr:from>
      <xdr:col>7</xdr:col>
      <xdr:colOff>380999</xdr:colOff>
      <xdr:row>22</xdr:row>
      <xdr:rowOff>8860</xdr:rowOff>
    </xdr:from>
    <xdr:to>
      <xdr:col>8</xdr:col>
      <xdr:colOff>487325</xdr:colOff>
      <xdr:row>26</xdr:row>
      <xdr:rowOff>17721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3747976" y="3907465"/>
          <a:ext cx="779721" cy="717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/>
            <a:t>Click Here</a:t>
          </a:r>
          <a:br>
            <a:rPr lang="en-US" sz="1000"/>
          </a:br>
          <a:r>
            <a:rPr lang="en-US" sz="1000"/>
            <a:t>for</a:t>
          </a:r>
          <a:r>
            <a:rPr lang="en-US" sz="1000" baseline="0"/>
            <a:t> More Details</a:t>
          </a:r>
          <a:endParaRPr lang="en-US" sz="1000"/>
        </a:p>
      </xdr:txBody>
    </xdr:sp>
    <xdr:clientData/>
  </xdr:twoCellAnchor>
  <xdr:twoCellAnchor>
    <xdr:from>
      <xdr:col>7</xdr:col>
      <xdr:colOff>629093</xdr:colOff>
      <xdr:row>25</xdr:row>
      <xdr:rowOff>88604</xdr:rowOff>
    </xdr:from>
    <xdr:to>
      <xdr:col>8</xdr:col>
      <xdr:colOff>194930</xdr:colOff>
      <xdr:row>29</xdr:row>
      <xdr:rowOff>17720</xdr:rowOff>
    </xdr:to>
    <xdr:sp macro="" textlink="">
      <xdr:nvSpPr>
        <xdr:cNvPr id="34" name="Arrow: Down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3996070" y="4518837"/>
          <a:ext cx="239232" cy="63795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20</xdr:col>
      <xdr:colOff>72994</xdr:colOff>
      <xdr:row>12</xdr:row>
      <xdr:rowOff>40519</xdr:rowOff>
    </xdr:from>
    <xdr:to>
      <xdr:col>23</xdr:col>
      <xdr:colOff>435430</xdr:colOff>
      <xdr:row>18</xdr:row>
      <xdr:rowOff>166542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6" name="Order_Date 1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50327" y="2174119"/>
              <a:ext cx="2369036" cy="11928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18</xdr:col>
      <xdr:colOff>564708</xdr:colOff>
      <xdr:row>19</xdr:row>
      <xdr:rowOff>172710</xdr:rowOff>
    </xdr:from>
    <xdr:to>
      <xdr:col>22</xdr:col>
      <xdr:colOff>343829</xdr:colOff>
      <xdr:row>24</xdr:row>
      <xdr:rowOff>9293</xdr:rowOff>
    </xdr:to>
    <xdr:sp macro="" textlink="'Analysis '!N38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12608025" y="3527369"/>
          <a:ext cx="2455414" cy="7193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11DFDD9-BC64-4BB8-9829-F90125C0F7D2}" type="TxLink">
            <a:rPr lang="en-US" sz="1050" b="1" i="0" u="none" strike="noStrike">
              <a:solidFill>
                <a:srgbClr val="000000"/>
              </a:solidFill>
              <a:latin typeface="Carlito"/>
            </a:rPr>
            <a:pPr/>
            <a:t>Top 10 Store by Sales Performace Analysis</a:t>
          </a:fld>
          <a:endParaRPr lang="en-US" sz="105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586740</xdr:colOff>
          <xdr:row>20</xdr:row>
          <xdr:rowOff>68580</xdr:rowOff>
        </xdr:from>
        <xdr:to>
          <xdr:col>23</xdr:col>
          <xdr:colOff>251460</xdr:colOff>
          <xdr:row>22</xdr:row>
          <xdr:rowOff>15240</xdr:rowOff>
        </xdr:to>
        <xdr:sp macro="" textlink="">
          <xdr:nvSpPr>
            <xdr:cNvPr id="4099" name="Option 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388620</xdr:colOff>
          <xdr:row>20</xdr:row>
          <xdr:rowOff>68580</xdr:rowOff>
        </xdr:from>
        <xdr:to>
          <xdr:col>24</xdr:col>
          <xdr:colOff>45720</xdr:colOff>
          <xdr:row>22</xdr:row>
          <xdr:rowOff>15240</xdr:rowOff>
        </xdr:to>
        <xdr:sp macro="" textlink="">
          <xdr:nvSpPr>
            <xdr:cNvPr id="4100" name="Option 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</a:t>
              </a:r>
            </a:p>
          </xdr:txBody>
        </xdr:sp>
        <xdr:clientData/>
      </xdr:twoCellAnchor>
    </mc:Choice>
    <mc:Fallback/>
  </mc:AlternateContent>
  <xdr:twoCellAnchor>
    <xdr:from>
      <xdr:col>9</xdr:col>
      <xdr:colOff>603250</xdr:colOff>
      <xdr:row>20</xdr:row>
      <xdr:rowOff>116417</xdr:rowOff>
    </xdr:from>
    <xdr:to>
      <xdr:col>15</xdr:col>
      <xdr:colOff>296333</xdr:colOff>
      <xdr:row>22</xdr:row>
      <xdr:rowOff>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5270500" y="3714750"/>
          <a:ext cx="3693583" cy="243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Average</a:t>
          </a:r>
          <a:r>
            <a:rPr lang="en-US" sz="1100" b="1" baseline="0"/>
            <a:t> Delivery Days (Region-Analysis)</a:t>
          </a:r>
          <a:endParaRPr lang="en-US" sz="1100" b="1"/>
        </a:p>
      </xdr:txBody>
    </xdr:sp>
    <xdr:clientData/>
  </xdr:twoCellAnchor>
  <xdr:twoCellAnchor>
    <xdr:from>
      <xdr:col>9</xdr:col>
      <xdr:colOff>656167</xdr:colOff>
      <xdr:row>33</xdr:row>
      <xdr:rowOff>52917</xdr:rowOff>
    </xdr:from>
    <xdr:to>
      <xdr:col>15</xdr:col>
      <xdr:colOff>349250</xdr:colOff>
      <xdr:row>34</xdr:row>
      <xdr:rowOff>116417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5323417" y="5990167"/>
          <a:ext cx="3693583" cy="243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Customer</a:t>
          </a:r>
          <a:r>
            <a:rPr lang="en-US" sz="1100" b="1" baseline="0"/>
            <a:t> Ratings (Region-Analysis)</a:t>
          </a:r>
          <a:endParaRPr lang="en-US" sz="1100" b="1"/>
        </a:p>
      </xdr:txBody>
    </xdr:sp>
    <xdr:clientData/>
  </xdr:twoCellAnchor>
  <xdr:twoCellAnchor>
    <xdr:from>
      <xdr:col>7</xdr:col>
      <xdr:colOff>74083</xdr:colOff>
      <xdr:row>8</xdr:row>
      <xdr:rowOff>84667</xdr:rowOff>
    </xdr:from>
    <xdr:to>
      <xdr:col>25</xdr:col>
      <xdr:colOff>159210</xdr:colOff>
      <xdr:row>11</xdr:row>
      <xdr:rowOff>66722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3407833" y="1524000"/>
          <a:ext cx="12086627" cy="521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0">
              <a:solidFill>
                <a:schemeClr val="tx2">
                  <a:lumMod val="90000"/>
                  <a:lumOff val="10000"/>
                </a:schemeClr>
              </a:solidFill>
            </a:rPr>
            <a:t>Retail Industry Region Wise Sales Performance Dashboard</a:t>
          </a:r>
        </a:p>
      </xdr:txBody>
    </xdr:sp>
    <xdr:clientData/>
  </xdr:twoCellAnchor>
  <xdr:twoCellAnchor>
    <xdr:from>
      <xdr:col>18</xdr:col>
      <xdr:colOff>631902</xdr:colOff>
      <xdr:row>21</xdr:row>
      <xdr:rowOff>167268</xdr:rowOff>
    </xdr:from>
    <xdr:to>
      <xdr:col>23</xdr:col>
      <xdr:colOff>538975</xdr:colOff>
      <xdr:row>46</xdr:row>
      <xdr:rowOff>18584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399586</xdr:colOff>
      <xdr:row>15</xdr:row>
      <xdr:rowOff>27878</xdr:rowOff>
    </xdr:from>
    <xdr:to>
      <xdr:col>6</xdr:col>
      <xdr:colOff>515715</xdr:colOff>
      <xdr:row>40</xdr:row>
      <xdr:rowOff>100040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9A5913A3-9ACB-4C51-AA86-325A4BB7BE1A}"/>
            </a:ext>
          </a:extLst>
        </xdr:cNvPr>
        <xdr:cNvSpPr/>
      </xdr:nvSpPr>
      <xdr:spPr>
        <a:xfrm>
          <a:off x="3744952" y="2676293"/>
          <a:ext cx="785202" cy="4486186"/>
        </a:xfrm>
        <a:prstGeom prst="roundRect">
          <a:avLst>
            <a:gd name="adj" fmla="val 50000"/>
          </a:avLst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 defTabSz="914400" rtl="0" eaLnBrk="1" latinLnBrk="0" hangingPunct="1"/>
          <a:endParaRPr lang="en-US" sz="1800" kern="1200">
            <a:solidFill>
              <a:schemeClr val="tx2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470587</xdr:colOff>
      <xdr:row>21</xdr:row>
      <xdr:rowOff>16332</xdr:rowOff>
    </xdr:from>
    <xdr:to>
      <xdr:col>6</xdr:col>
      <xdr:colOff>438424</xdr:colOff>
      <xdr:row>24</xdr:row>
      <xdr:rowOff>123560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D426B22E-5898-42AB-A9A8-7AA19B3555A6}"/>
            </a:ext>
          </a:extLst>
        </xdr:cNvPr>
        <xdr:cNvSpPr/>
      </xdr:nvSpPr>
      <xdr:spPr>
        <a:xfrm>
          <a:off x="3815953" y="3724112"/>
          <a:ext cx="636910" cy="6369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470587</xdr:colOff>
      <xdr:row>26</xdr:row>
      <xdr:rowOff>13559</xdr:rowOff>
    </xdr:from>
    <xdr:to>
      <xdr:col>6</xdr:col>
      <xdr:colOff>438424</xdr:colOff>
      <xdr:row>29</xdr:row>
      <xdr:rowOff>120787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A4BB1AA-C302-4599-8144-58443E3A1C23}"/>
            </a:ext>
          </a:extLst>
        </xdr:cNvPr>
        <xdr:cNvSpPr/>
      </xdr:nvSpPr>
      <xdr:spPr>
        <a:xfrm>
          <a:off x="3815953" y="4604144"/>
          <a:ext cx="636910" cy="6369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477436</xdr:colOff>
      <xdr:row>31</xdr:row>
      <xdr:rowOff>10786</xdr:rowOff>
    </xdr:from>
    <xdr:to>
      <xdr:col>6</xdr:col>
      <xdr:colOff>445273</xdr:colOff>
      <xdr:row>34</xdr:row>
      <xdr:rowOff>118014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DCF1BBF0-69B3-47B3-8D1F-AEE38F59DF75}"/>
            </a:ext>
          </a:extLst>
        </xdr:cNvPr>
        <xdr:cNvSpPr/>
      </xdr:nvSpPr>
      <xdr:spPr>
        <a:xfrm>
          <a:off x="3822802" y="5484176"/>
          <a:ext cx="636910" cy="63691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121</xdr:colOff>
      <xdr:row>22</xdr:row>
      <xdr:rowOff>31530</xdr:rowOff>
    </xdr:from>
    <xdr:to>
      <xdr:col>6</xdr:col>
      <xdr:colOff>260364</xdr:colOff>
      <xdr:row>23</xdr:row>
      <xdr:rowOff>128909</xdr:rowOff>
    </xdr:to>
    <xdr:sp macro="" textlink="">
      <xdr:nvSpPr>
        <xdr:cNvPr id="49" name="TextBox 4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2276F6-0FC0-41EE-9C64-3108D9754C76}"/>
            </a:ext>
          </a:extLst>
        </xdr:cNvPr>
        <xdr:cNvSpPr txBox="1"/>
      </xdr:nvSpPr>
      <xdr:spPr>
        <a:xfrm>
          <a:off x="4014560" y="3915871"/>
          <a:ext cx="260243" cy="27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1</a:t>
          </a:r>
          <a:endParaRPr lang="en-US" sz="4000"/>
        </a:p>
      </xdr:txBody>
    </xdr:sp>
    <xdr:clientData/>
  </xdr:twoCellAnchor>
  <xdr:twoCellAnchor>
    <xdr:from>
      <xdr:col>6</xdr:col>
      <xdr:colOff>121</xdr:colOff>
      <xdr:row>27</xdr:row>
      <xdr:rowOff>39030</xdr:rowOff>
    </xdr:from>
    <xdr:to>
      <xdr:col>6</xdr:col>
      <xdr:colOff>260364</xdr:colOff>
      <xdr:row>28</xdr:row>
      <xdr:rowOff>136409</xdr:rowOff>
    </xdr:to>
    <xdr:sp macro="" textlink="">
      <xdr:nvSpPr>
        <xdr:cNvPr id="50" name="TextBox 4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202FF96-D1E8-42B6-BD5E-938088B562FE}"/>
            </a:ext>
          </a:extLst>
        </xdr:cNvPr>
        <xdr:cNvSpPr txBox="1"/>
      </xdr:nvSpPr>
      <xdr:spPr>
        <a:xfrm>
          <a:off x="4014560" y="4806176"/>
          <a:ext cx="260243" cy="27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2</a:t>
          </a:r>
        </a:p>
      </xdr:txBody>
    </xdr:sp>
    <xdr:clientData/>
  </xdr:twoCellAnchor>
  <xdr:twoCellAnchor>
    <xdr:from>
      <xdr:col>6</xdr:col>
      <xdr:colOff>121</xdr:colOff>
      <xdr:row>32</xdr:row>
      <xdr:rowOff>25984</xdr:rowOff>
    </xdr:from>
    <xdr:to>
      <xdr:col>6</xdr:col>
      <xdr:colOff>260364</xdr:colOff>
      <xdr:row>33</xdr:row>
      <xdr:rowOff>123363</xdr:rowOff>
    </xdr:to>
    <xdr:sp macro="" textlink="">
      <xdr:nvSpPr>
        <xdr:cNvPr id="51" name="TextBox 5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24D2E61-3FC5-4AF6-A8E1-5F8F182025A0}"/>
            </a:ext>
          </a:extLst>
        </xdr:cNvPr>
        <xdr:cNvSpPr txBox="1"/>
      </xdr:nvSpPr>
      <xdr:spPr>
        <a:xfrm>
          <a:off x="4014560" y="5675935"/>
          <a:ext cx="260243" cy="27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3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Class%20File-Excel_Dashboard_Case_Study_Dataset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3.925028819445" createdVersion="8" refreshedVersion="8" minRefreshableVersion="3" recordCount="1000" xr:uid="{5C4666CD-9335-45F5-9258-C2CB1263CD2E}">
  <cacheSource type="worksheet">
    <worksheetSource name="FactSales" r:id="rId2"/>
  </cacheSource>
  <cacheFields count="25"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6-16T00:00:00" count="448">
        <d v="2025-06-28T00:00:00"/>
        <d v="2025-05-24T00:00:00"/>
        <d v="2025-03-28T00:00:00"/>
        <d v="2026-04-18T00:00:00"/>
        <d v="2025-06-26T00:00:00"/>
        <d v="2025-10-30T00:00:00"/>
        <d v="2026-03-06T00:00:00"/>
        <d v="2026-05-12T00:00:00"/>
        <d v="2025-08-13T00:00:00"/>
        <d v="2025-04-13T00:00:00"/>
        <d v="2026-02-02T00:00:00"/>
        <d v="2025-05-26T00:00:00"/>
        <d v="2025-04-03T00:00:00"/>
        <d v="2025-07-01T00:00:00"/>
        <d v="2025-11-06T00:00:00"/>
        <d v="2026-01-01T00:00:00"/>
        <d v="2026-02-05T00:00:00"/>
        <d v="2025-08-15T00:00:00"/>
        <d v="2025-04-01T00:00:00"/>
        <d v="2025-03-11T00:00:00"/>
        <d v="2025-12-26T00:00:00"/>
        <d v="2025-02-04T00:00:00"/>
        <d v="2025-04-06T00:00:00"/>
        <d v="2025-06-10T00:00:00"/>
        <d v="2025-02-20T00:00:00"/>
        <d v="2025-03-31T00:00:00"/>
        <d v="2025-04-29T00:00:00"/>
        <d v="2026-02-01T00:00:00"/>
        <d v="2025-10-03T00:00:00"/>
        <d v="2025-08-21T00:00:00"/>
        <d v="2026-02-09T00:00:00"/>
        <d v="2025-06-21T00:00:00"/>
        <d v="2025-03-10T00:00:00"/>
        <d v="2025-01-13T00:00:00"/>
        <d v="2026-05-13T00:00:00"/>
        <d v="2025-02-09T00:00:00"/>
        <d v="2025-01-21T00:00:00"/>
        <d v="2026-03-30T00:00:00"/>
        <d v="2026-02-21T00:00:00"/>
        <d v="2025-05-19T00:00:00"/>
        <d v="2025-09-13T00:00:00"/>
        <d v="2025-05-07T00:00:00"/>
        <d v="2026-05-01T00:00:00"/>
        <d v="2026-02-24T00:00:00"/>
        <d v="2025-11-09T00:00:00"/>
        <d v="2026-04-23T00:00:00"/>
        <d v="2025-04-21T00:00:00"/>
        <d v="2025-11-02T00:00:00"/>
        <d v="2025-01-27T00:00:00"/>
        <d v="2025-07-14T00:00:00"/>
        <d v="2025-06-24T00:00:00"/>
        <d v="2025-09-22T00:00:00"/>
        <d v="2025-11-11T00:00:00"/>
        <d v="2025-05-01T00:00:00"/>
        <d v="2026-01-26T00:00:00"/>
        <d v="2026-04-14T00:00:00"/>
        <d v="2025-08-03T00:00:00"/>
        <d v="2026-03-16T00:00:00"/>
        <d v="2025-01-05T00:00:00"/>
        <d v="2026-01-28T00:00:00"/>
        <d v="2025-12-12T00:00:00"/>
        <d v="2026-02-18T00:00:00"/>
        <d v="2025-02-08T00:00:00"/>
        <d v="2025-01-10T00:00:00"/>
        <d v="2025-04-18T00:00:00"/>
        <d v="2025-07-26T00:00:00"/>
        <d v="2025-08-01T00:00:00"/>
        <d v="2025-10-31T00:00:00"/>
        <d v="2026-03-25T00:00:00"/>
        <d v="2026-01-30T00:00:00"/>
        <d v="2025-03-02T00:00:00"/>
        <d v="2025-01-30T00:00:00"/>
        <d v="2025-03-06T00:00:00"/>
        <d v="2025-04-08T00:00:00"/>
        <d v="2025-02-25T00:00:00"/>
        <d v="2025-12-05T00:00:00"/>
        <d v="2025-03-22T00:00:00"/>
        <d v="2025-04-16T00:00:00"/>
        <d v="2026-06-05T00:00:00"/>
        <d v="2026-04-30T00:00:00"/>
        <d v="2025-10-26T00:00:00"/>
        <d v="2025-07-15T00:00:00"/>
        <d v="2026-06-01T00:00:00"/>
        <d v="2026-05-10T00:00:00"/>
        <d v="2025-11-26T00:00:00"/>
        <d v="2025-12-18T00:00:00"/>
        <d v="2025-08-11T00:00:00"/>
        <d v="2025-07-02T00:00:00"/>
        <d v="2025-10-20T00:00:00"/>
        <d v="2025-02-24T00:00:00"/>
        <d v="2025-08-18T00:00:00"/>
        <d v="2025-11-17T00:00:00"/>
        <d v="2025-03-18T00:00:00"/>
        <d v="2025-09-28T00:00:00"/>
        <d v="2025-11-27T00:00:00"/>
        <d v="2025-11-22T00:00:00"/>
        <d v="2025-12-24T00:00:00"/>
        <d v="2026-05-02T00:00:00"/>
        <d v="2025-02-10T00:00:00"/>
        <d v="2025-10-17T00:00:00"/>
        <d v="2026-06-11T00:00:00"/>
        <d v="2025-03-09T00:00:00"/>
        <d v="2026-03-22T00:00:00"/>
        <d v="2026-02-19T00:00:00"/>
        <d v="2025-05-25T00:00:00"/>
        <d v="2025-12-19T00:00:00"/>
        <d v="2025-03-13T00:00:00"/>
        <d v="2025-06-06T00:00:00"/>
        <d v="2026-03-23T00:00:00"/>
        <d v="2025-03-20T00:00:00"/>
        <d v="2025-08-06T00:00:00"/>
        <d v="2025-10-25T00:00:00"/>
        <d v="2025-09-02T00:00:00"/>
        <d v="2025-05-30T00:00:00"/>
        <d v="2025-09-27T00:00:00"/>
        <d v="2025-08-17T00:00:00"/>
        <d v="2025-05-23T00:00:00"/>
        <d v="2025-05-02T00:00:00"/>
        <d v="2026-05-06T00:00:00"/>
        <d v="2025-05-18T00:00:00"/>
        <d v="2026-06-14T00:00:00"/>
        <d v="2026-04-28T00:00:00"/>
        <d v="2025-07-06T00:00:00"/>
        <d v="2025-06-03T00:00:00"/>
        <d v="2025-05-14T00:00:00"/>
        <d v="2025-02-14T00:00:00"/>
        <d v="2025-04-11T00:00:00"/>
        <d v="2026-02-23T00:00:00"/>
        <d v="2025-11-20T00:00:00"/>
        <d v="2026-03-10T00:00:00"/>
        <d v="2026-01-15T00:00:00"/>
        <d v="2026-02-12T00:00:00"/>
        <d v="2025-12-13T00:00:00"/>
        <d v="2026-02-15T00:00:00"/>
        <d v="2025-06-29T00:00:00"/>
        <d v="2025-08-26T00:00:00"/>
        <d v="2025-10-10T00:00:00"/>
        <d v="2025-07-19T00:00:00"/>
        <d v="2025-10-29T00:00:00"/>
        <d v="2026-01-22T00:00:00"/>
        <d v="2026-05-09T00:00:00"/>
        <d v="2025-12-17T00:00:00"/>
        <d v="2025-12-31T00:00:00"/>
        <d v="2025-02-13T00:00:00"/>
        <d v="2025-08-16T00:00:00"/>
        <d v="2025-02-03T00:00:00"/>
        <d v="2025-01-09T00:00:00"/>
        <d v="2025-09-23T00:00:00"/>
        <d v="2025-08-23T00:00:00"/>
        <d v="2026-05-14T00:00:00"/>
        <d v="2025-09-18T00:00:00"/>
        <d v="2025-09-21T00:00:00"/>
        <d v="2026-04-03T00:00:00"/>
        <d v="2026-04-07T00:00:00"/>
        <d v="2025-03-23T00:00:00"/>
        <d v="2025-03-27T00:00:00"/>
        <d v="2025-10-18T00:00:00"/>
        <d v="2026-04-24T00:00:00"/>
        <d v="2026-04-13T00:00:00"/>
        <d v="2025-04-02T00:00:00"/>
        <d v="2025-05-20T00:00:00"/>
        <d v="2026-03-17T00:00:00"/>
        <d v="2026-03-24T00:00:00"/>
        <d v="2025-10-06T00:00:00"/>
        <d v="2025-10-24T00:00:00"/>
        <d v="2025-01-23T00:00:00"/>
        <d v="2025-02-02T00:00:00"/>
        <d v="2025-07-05T00:00:00"/>
        <d v="2025-08-02T00:00:00"/>
        <d v="2026-05-08T00:00:00"/>
        <d v="2026-03-21T00:00:00"/>
        <d v="2025-04-04T00:00:00"/>
        <d v="2025-12-22T00:00:00"/>
        <d v="2025-09-14T00:00:00"/>
        <d v="2025-11-28T00:00:00"/>
        <d v="2026-01-08T00:00:00"/>
        <d v="2025-04-09T00:00:00"/>
        <d v="2025-07-16T00:00:00"/>
        <d v="2025-02-11T00:00:00"/>
        <d v="2025-08-25T00:00:00"/>
        <d v="2026-01-02T00:00:00"/>
        <d v="2026-06-08T00:00:00"/>
        <d v="2025-03-21T00:00:00"/>
        <d v="2025-05-04T00:00:00"/>
        <d v="2025-02-12T00:00:00"/>
        <d v="2025-02-21T00:00:00"/>
        <d v="2025-06-01T00:00:00"/>
        <d v="2025-03-29T00:00:00"/>
        <d v="2025-09-10T00:00:00"/>
        <d v="2026-02-28T00:00:00"/>
        <d v="2026-03-29T00:00:00"/>
        <d v="2025-09-19T00:00:00"/>
        <d v="2026-01-31T00:00:00"/>
        <d v="2025-07-10T00:00:00"/>
        <d v="2026-02-07T00:00:00"/>
        <d v="2025-08-30T00:00:00"/>
        <d v="2025-08-19T00:00:00"/>
        <d v="2025-05-22T00:00:00"/>
        <d v="2025-05-29T00:00:00"/>
        <d v="2025-11-23T00:00:00"/>
        <d v="2025-10-08T00:00:00"/>
        <d v="2026-04-26T00:00:00"/>
        <d v="2025-01-16T00:00:00"/>
        <d v="2026-03-26T00:00:00"/>
        <d v="2026-01-25T00:00:00"/>
        <d v="2025-04-26T00:00:00"/>
        <d v="2025-07-03T00:00:00"/>
        <d v="2025-06-16T00:00:00"/>
        <d v="2026-04-02T00:00:00"/>
        <d v="2026-05-26T00:00:00"/>
        <d v="2026-04-10T00:00:00"/>
        <d v="2026-01-24T00:00:00"/>
        <d v="2025-12-04T00:00:00"/>
        <d v="2025-05-13T00:00:00"/>
        <d v="2025-11-03T00:00:00"/>
        <d v="2025-12-29T00:00:00"/>
        <d v="2026-02-03T00:00:00"/>
        <d v="2026-01-19T00:00:00"/>
        <d v="2026-05-28T00:00:00"/>
        <d v="2025-01-24T00:00:00"/>
        <d v="2025-07-31T00:00:00"/>
        <d v="2025-03-14T00:00:00"/>
        <d v="2025-03-30T00:00:00"/>
        <d v="2025-07-22T00:00:00"/>
        <d v="2026-04-25T00:00:00"/>
        <d v="2025-05-11T00:00:00"/>
        <d v="2025-12-15T00:00:00"/>
        <d v="2025-04-10T00:00:00"/>
        <d v="2025-03-04T00:00:00"/>
        <d v="2026-02-08T00:00:00"/>
        <d v="2025-06-27T00:00:00"/>
        <d v="2025-05-09T00:00:00"/>
        <d v="2026-04-06T00:00:00"/>
        <d v="2025-08-31T00:00:00"/>
        <d v="2026-01-13T00:00:00"/>
        <d v="2025-12-06T00:00:00"/>
        <d v="2025-03-26T00:00:00"/>
        <d v="2026-02-27T00:00:00"/>
        <d v="2025-12-20T00:00:00"/>
        <d v="2025-08-28T00:00:00"/>
        <d v="2026-03-19T00:00:00"/>
        <d v="2025-07-04T00:00:00"/>
        <d v="2025-04-17T00:00:00"/>
        <d v="2025-07-09T00:00:00"/>
        <d v="2025-03-03T00:00:00"/>
        <d v="2025-04-22T00:00:00"/>
        <d v="2026-01-03T00:00:00"/>
        <d v="2025-04-20T00:00:00"/>
        <d v="2025-02-06T00:00:00"/>
        <d v="2025-01-17T00:00:00"/>
        <d v="2026-04-15T00:00:00"/>
        <d v="2025-08-14T00:00:00"/>
        <d v="2025-05-21T00:00:00"/>
        <d v="2026-03-02T00:00:00"/>
        <d v="2025-05-27T00:00:00"/>
        <d v="2026-05-27T00:00:00"/>
        <d v="2025-06-30T00:00:00"/>
        <d v="2026-04-01T00:00:00"/>
        <d v="2025-07-18T00:00:00"/>
        <d v="2025-08-10T00:00:00"/>
        <d v="2025-06-02T00:00:00"/>
        <d v="2026-02-20T00:00:00"/>
        <d v="2025-12-07T00:00:00"/>
        <d v="2025-02-26T00:00:00"/>
        <d v="2026-05-05T00:00:00"/>
        <d v="2025-10-27T00:00:00"/>
        <d v="2025-01-22T00:00:00"/>
        <d v="2025-12-01T00:00:00"/>
        <d v="2025-11-10T00:00:00"/>
        <d v="2026-04-12T00:00:00"/>
        <d v="2025-06-07T00:00:00"/>
        <d v="2025-02-05T00:00:00"/>
        <d v="2025-11-05T00:00:00"/>
        <d v="2026-06-04T00:00:00"/>
        <d v="2026-05-18T00:00:00"/>
        <d v="2026-03-14T00:00:00"/>
        <d v="2026-03-31T00:00:00"/>
        <d v="2026-01-20T00:00:00"/>
        <d v="2026-04-20T00:00:00"/>
        <d v="2025-10-22T00:00:00"/>
        <d v="2026-05-03T00:00:00"/>
        <d v="2025-11-24T00:00:00"/>
        <d v="2025-12-27T00:00:00"/>
        <d v="2025-06-08T00:00:00"/>
        <d v="2025-05-15T00:00:00"/>
        <d v="2025-09-05T00:00:00"/>
        <d v="2025-10-16T00:00:00"/>
        <d v="2026-05-23T00:00:00"/>
        <d v="2025-11-16T00:00:00"/>
        <d v="2026-03-15T00:00:00"/>
        <d v="2025-04-15T00:00:00"/>
        <d v="2026-03-11T00:00:00"/>
        <d v="2025-11-07T00:00:00"/>
        <d v="2026-05-15T00:00:00"/>
        <d v="2025-01-29T00:00:00"/>
        <d v="2026-03-09T00:00:00"/>
        <d v="2025-11-21T00:00:00"/>
        <d v="2025-12-14T00:00:00"/>
        <d v="2025-03-19T00:00:00"/>
        <d v="2025-08-07T00:00:00"/>
        <d v="2026-04-19T00:00:00"/>
        <d v="2025-02-07T00:00:00"/>
        <d v="2025-03-07T00:00:00"/>
        <d v="2025-08-08T00:00:00"/>
        <d v="2026-01-12T00:00:00"/>
        <d v="2025-09-03T00:00:00"/>
        <d v="2025-06-14T00:00:00"/>
        <d v="2026-05-19T00:00:00"/>
        <d v="2025-09-25T00:00:00"/>
        <d v="2025-07-08T00:00:00"/>
        <d v="2025-05-17T00:00:00"/>
        <d v="2025-09-30T00:00:00"/>
        <d v="2025-07-13T00:00:00"/>
        <d v="2025-06-23T00:00:00"/>
        <d v="2025-04-30T00:00:00"/>
        <d v="2026-03-27T00:00:00"/>
        <d v="2025-10-07T00:00:00"/>
        <d v="2025-05-05T00:00:00"/>
        <d v="2026-05-07T00:00:00"/>
        <d v="2026-04-09T00:00:00"/>
        <d v="2025-11-14T00:00:00"/>
        <d v="2026-05-17T00:00:00"/>
        <d v="2025-02-18T00:00:00"/>
        <d v="2025-09-17T00:00:00"/>
        <d v="2026-04-17T00:00:00"/>
        <d v="2025-10-02T00:00:00"/>
        <d v="2025-06-15T00:00:00"/>
        <d v="2025-01-19T00:00:00"/>
        <d v="2026-05-31T00:00:00"/>
        <d v="2025-05-06T00:00:00"/>
        <d v="2026-03-08T00:00:00"/>
        <d v="2026-01-06T00:00:00"/>
        <d v="2025-06-18T00:00:00"/>
        <d v="2025-05-31T00:00:00"/>
        <d v="2025-05-10T00:00:00"/>
        <d v="2026-06-02T00:00:00"/>
        <d v="2025-05-08T00:00:00"/>
        <d v="2025-03-05T00:00:00"/>
        <d v="2026-02-17T00:00:00"/>
        <d v="2026-01-14T00:00:00"/>
        <d v="2026-05-16T00:00:00"/>
        <d v="2025-02-16T00:00:00"/>
        <d v="2025-11-13T00:00:00"/>
        <d v="2026-05-30T00:00:00"/>
        <d v="2025-01-25T00:00:00"/>
        <d v="2025-06-22T00:00:00"/>
        <d v="2025-11-30T00:00:00"/>
        <d v="2025-04-28T00:00:00"/>
        <d v="2025-11-08T00:00:00"/>
        <d v="2026-04-21T00:00:00"/>
        <d v="2025-08-04T00:00:00"/>
        <d v="2025-10-15T00:00:00"/>
        <d v="2026-02-10T00:00:00"/>
        <d v="2025-02-23T00:00:00"/>
        <d v="2025-01-06T00:00:00"/>
        <d v="2025-01-11T00:00:00"/>
        <d v="2026-03-05T00:00:00"/>
        <d v="2025-08-24T00:00:00"/>
        <d v="2026-02-14T00:00:00"/>
        <d v="2025-04-14T00:00:00"/>
        <d v="2025-09-08T00:00:00"/>
        <d v="2025-10-14T00:00:00"/>
        <d v="2025-03-08T00:00:00"/>
        <d v="2026-05-22T00:00:00"/>
        <d v="2026-05-25T00:00:00"/>
        <d v="2026-01-04T00:00:00"/>
        <d v="2025-10-09T00:00:00"/>
        <d v="2025-08-22T00:00:00"/>
        <d v="2025-01-31T00:00:00"/>
        <d v="2026-03-12T00:00:00"/>
        <d v="2025-10-13T00:00:00"/>
        <d v="2025-12-10T00:00:00"/>
        <d v="2025-08-27T00:00:00"/>
        <d v="2025-12-03T00:00:00"/>
        <d v="2026-03-28T00:00:00"/>
        <d v="2025-07-20T00:00:00"/>
        <d v="2026-01-18T00:00:00"/>
        <d v="2025-03-01T00:00:00"/>
        <d v="2025-11-12T00:00:00"/>
        <d v="2026-03-04T00:00:00"/>
        <d v="2025-06-20T00:00:00"/>
        <d v="2026-01-21T00:00:00"/>
        <d v="2026-02-06T00:00:00"/>
        <d v="2026-06-06T00:00:00"/>
        <d v="2026-05-11T00:00:00"/>
        <d v="2025-01-01T00:00:00"/>
        <d v="2025-04-12T00:00:00"/>
        <d v="2025-06-17T00:00:00"/>
        <d v="2025-08-20T00:00:00"/>
        <d v="2025-01-08T00:00:00"/>
        <d v="2026-04-05T00:00:00"/>
        <d v="2025-09-11T00:00:00"/>
        <d v="2025-01-14T00:00:00"/>
        <d v="2025-09-01T00:00:00"/>
        <d v="2025-09-16T00:00:00"/>
        <d v="2026-06-10T00:00:00"/>
        <d v="2026-02-04T00:00:00"/>
        <d v="2025-09-12T00:00:00"/>
        <d v="2025-04-19T00:00:00"/>
        <d v="2026-04-11T00:00:00"/>
        <d v="2025-04-23T00:00:00"/>
        <d v="2025-10-01T00:00:00"/>
        <d v="2026-01-29T00:00:00"/>
        <d v="2025-12-08T00:00:00"/>
        <d v="2026-05-20T00:00:00"/>
        <d v="2026-01-16T00:00:00"/>
        <d v="2026-01-10T00:00:00"/>
        <d v="2026-01-07T00:00:00"/>
        <d v="2025-02-15T00:00:00"/>
        <d v="2026-05-29T00:00:00"/>
        <d v="2026-03-18T00:00:00"/>
        <d v="2025-11-18T00:00:00"/>
        <d v="2026-04-22T00:00:00"/>
        <d v="2026-04-27T00:00:00"/>
        <d v="2026-04-08T00:00:00"/>
        <d v="2025-11-01T00:00:00"/>
        <d v="2026-01-23T00:00:00"/>
        <d v="2026-06-15T00:00:00"/>
        <d v="2025-12-21T00:00:00"/>
        <d v="2025-09-06T00:00:00"/>
        <d v="2026-01-27T00:00:00"/>
        <d v="2026-03-20T00:00:00"/>
        <d v="2025-01-04T00:00:00"/>
        <d v="2025-07-21T00:00:00"/>
        <d v="2025-07-24T00:00:00"/>
        <d v="2025-09-24T00:00:00"/>
        <d v="2025-09-04T00:00:00"/>
        <d v="2025-03-16T00:00:00"/>
        <d v="2026-05-24T00:00:00"/>
        <d v="2025-04-24T00:00:00"/>
        <d v="2025-07-28T00:00:00"/>
        <d v="2025-10-04T00:00:00"/>
        <d v="2025-09-26T00:00:00"/>
        <d v="2025-10-11T00:00:00"/>
        <d v="2026-03-13T00:00:00"/>
        <d v="2025-08-05T00:00:00"/>
        <d v="2026-02-22T00:00:00"/>
        <d v="2025-07-11T00:00:00"/>
        <d v="2025-04-27T00:00:00"/>
        <d v="2025-12-28T00:00:00"/>
        <d v="2026-06-03T00:00:00"/>
        <d v="2025-06-19T00:00:00"/>
        <d v="2025-04-07T00:00:00"/>
        <d v="2025-01-26T00:00:00"/>
        <d v="2025-02-01T00:00:00"/>
        <d v="2025-05-03T00:00:00"/>
        <d v="2025-03-25T00:00:00"/>
        <d v="2025-10-21T00:00:00"/>
      </sharedItems>
    </cacheField>
    <cacheField name="Customer_ID" numFmtId="0">
      <sharedItems/>
    </cacheField>
    <cacheField name="Region_ID" numFmtId="0">
      <sharedItems/>
    </cacheField>
    <cacheField name="Store_ID" numFmtId="0">
      <sharedItems/>
    </cacheField>
    <cacheField name="Salesperson_ID" numFmtId="0">
      <sharedItems count="48">
        <s v="SM-RAN-006"/>
        <s v="SM-RAJ-001"/>
        <s v="SM-RAJ-004"/>
        <s v="SM-MYM-003"/>
        <s v="SM-RAN-004"/>
        <s v="SM-SYL-005"/>
        <s v="SM-DHA-004"/>
        <s v="SM-RAN-001"/>
        <s v="SM-BAR-002"/>
        <s v="SM-DHA-005"/>
        <s v="SM-BAR-006"/>
        <s v="SM-MYM-002"/>
        <s v="SM-BAR-005"/>
        <s v="SM-KHL-006"/>
        <s v="SM-DHA-003"/>
        <s v="SM-CTG-003"/>
        <s v="SM-KHL-003"/>
        <s v="SM-MYM-001"/>
        <s v="SM-CTG-005"/>
        <s v="SM-MYM-004"/>
        <s v="SM-SYL-002"/>
        <s v="SM-RAN-005"/>
        <s v="SM-BAR-004"/>
        <s v="SM-CTG-002"/>
        <s v="SM-KHL-004"/>
        <s v="SM-SYL-006"/>
        <s v="SM-RAJ-003"/>
        <s v="SM-RAN-002"/>
        <s v="SM-DHA-002"/>
        <s v="SM-KHL-005"/>
        <s v="SM-RAJ-006"/>
        <s v="SM-MYM-005"/>
        <s v="SM-SYL-004"/>
        <s v="SM-BAR-003"/>
        <s v="SM-SYL-001"/>
        <s v="SM-DHA-006"/>
        <s v="SM-KHL-002"/>
        <s v="SM-CTG-006"/>
        <s v="SM-SYL-003"/>
        <s v="SM-CTG-004"/>
        <s v="SM-RAJ-005"/>
        <s v="SM-CTG-001"/>
        <s v="SM-RAN-003"/>
        <s v="SM-MYM-006"/>
        <s v="SM-DHA-001"/>
        <s v="SM-KHL-001"/>
        <s v="SM-RAJ-002"/>
        <s v="SM-BAR-001"/>
      </sharedItems>
    </cacheField>
    <cacheField name="Product_ID" numFmtId="0">
      <sharedItems/>
    </cacheField>
    <cacheField name="Quantity_Sold" numFmtId="0">
      <sharedItems containsSemiMixedTypes="0" containsString="0" containsNumber="1" containsInteger="1" minValue="1" maxValue="12"/>
    </cacheField>
    <cacheField name="Discount" numFmtId="9">
      <sharedItems containsSemiMixedTypes="0" containsString="0" containsNumber="1" minValue="0" maxValue="0.18"/>
    </cacheField>
    <cacheField name="Target_Sales" numFmtId="3">
      <sharedItems containsSemiMixedTypes="0" containsString="0" containsNumber="1" containsInteger="1" minValue="367" maxValue="130816"/>
    </cacheField>
    <cacheField name="Delivery_Days" numFmtId="0">
      <sharedItems containsSemiMixedTypes="0" containsString="0" containsNumber="1" containsInteger="1" minValue="1" maxValue="13"/>
    </cacheField>
    <cacheField name="Customer_Rating" numFmtId="165">
      <sharedItems containsSemiMixedTypes="0" containsString="0" containsNumber="1" minValue="1" maxValue="4.9000000000000004" count="36">
        <n v="2"/>
        <n v="4.5999999999999996"/>
        <n v="2.8"/>
        <n v="3.6"/>
        <n v="3.2"/>
        <n v="3.3"/>
        <n v="3.7"/>
        <n v="4.8"/>
        <n v="1"/>
        <n v="2.2000000000000002"/>
        <n v="4.2"/>
        <n v="2.9"/>
        <n v="2.7"/>
        <n v="4.7"/>
        <n v="1.9"/>
        <n v="4.5"/>
        <n v="3.1"/>
        <n v="3.9"/>
        <n v="4.4000000000000004"/>
        <n v="3.5"/>
        <n v="3.8"/>
        <n v="4"/>
        <n v="2.2999999999999998"/>
        <n v="2.6"/>
        <n v="4.3"/>
        <n v="4.0999999999999996"/>
        <n v="1.8"/>
        <n v="2.4"/>
        <n v="3"/>
        <n v="3.4"/>
        <n v="2.5"/>
        <n v="1.6"/>
        <n v="2.1"/>
        <n v="4.9000000000000004"/>
        <n v="1.4"/>
        <n v="1.7"/>
      </sharedItems>
      <fieldGroup base="11">
        <rangePr startNum="1" endNum="4.9000000000000004"/>
        <groupItems count="6">
          <s v="&lt;1"/>
          <s v="1-2"/>
          <s v="2-3"/>
          <s v="3-4"/>
          <s v="4-5"/>
          <s v="&gt;5"/>
        </groupItems>
      </fieldGroup>
    </cacheField>
    <cacheField name="Product_Name" numFmtId="0">
      <sharedItems/>
    </cacheField>
    <cacheField name="Category" numFmtId="0">
      <sharedItems/>
    </cacheField>
    <cacheField name="Unit_Price" numFmtId="0">
      <sharedItems containsSemiMixedTypes="0" containsString="0" containsNumber="1" containsInteger="1" minValue="340" maxValue="11680"/>
    </cacheField>
    <cacheField name="Sales_Amount" numFmtId="3">
      <sharedItems containsSemiMixedTypes="0" containsString="0" containsNumber="1" containsInteger="1" minValue="340" maxValue="116800" count="290">
        <n v="7200"/>
        <n v="400"/>
        <n v="18240"/>
        <n v="8520"/>
        <n v="6440"/>
        <n v="2320"/>
        <n v="13680"/>
        <n v="3420"/>
        <n v="7430"/>
        <n v="4230"/>
        <n v="2080"/>
        <n v="8040"/>
        <n v="2640"/>
        <n v="14580"/>
        <n v="10720"/>
        <n v="6680"/>
        <n v="16200"/>
        <n v="2520"/>
        <n v="27090"/>
        <n v="9780"/>
        <n v="5460"/>
        <n v="800"/>
        <n v="10560"/>
        <n v="2200"/>
        <n v="12960"/>
        <n v="5970"/>
        <n v="1260"/>
        <n v="14670"/>
        <n v="9330"/>
        <n v="43200"/>
        <n v="93440"/>
        <n v="3360"/>
        <n v="3520"/>
        <n v="4400"/>
        <n v="21150"/>
        <n v="7480"/>
        <n v="10480"/>
        <n v="1040"/>
        <n v="12440"/>
        <n v="11610"/>
        <n v="3240"/>
        <n v="19560"/>
        <n v="21600"/>
        <n v="1870"/>
        <n v="7440"/>
        <n v="36000"/>
        <n v="11360"/>
        <n v="4860"/>
        <n v="3640"/>
        <n v="7290"/>
        <n v="7280"/>
        <n v="3480"/>
        <n v="4440"/>
        <n v="2840"/>
        <n v="5680"/>
        <n v="3340"/>
        <n v="5360"/>
        <n v="14200"/>
        <n v="2220"/>
        <n v="11740"/>
        <n v="21870"/>
        <n v="28400"/>
        <n v="5550"/>
        <n v="5610"/>
        <n v="59440"/>
        <n v="1360"/>
        <n v="7020"/>
        <n v="3720"/>
        <n v="15480"/>
        <n v="3510"/>
        <n v="26280"/>
        <n v="4980"/>
        <n v="27990"/>
        <n v="9350"/>
        <n v="36480"/>
        <n v="8120"/>
        <n v="1820"/>
        <n v="3110"/>
        <n v="116800"/>
        <n v="370"/>
        <n v="3870"/>
        <n v="9720"/>
        <n v="19440"/>
        <n v="13360"/>
        <n v="1710"/>
        <n v="6050"/>
        <n v="14400"/>
        <n v="50400"/>
        <n v="22290"/>
        <n v="3330"/>
        <n v="16380"/>
        <n v="1760"/>
        <n v="18200"/>
        <n v="1020"/>
        <n v="12690"/>
        <n v="6480"/>
        <n v="1210"/>
        <n v="3840"/>
        <n v="6720"/>
        <n v="8300"/>
        <n v="4890"/>
        <n v="20040"/>
        <n v="6750"/>
        <n v="24450"/>
        <n v="10920"/>
        <n v="21770"/>
        <n v="2380"/>
        <n v="35040"/>
        <n v="7860"/>
        <n v="13400"/>
        <n v="3320"/>
        <n v="9660"/>
        <n v="840"/>
        <n v="28800"/>
        <n v="13140"/>
        <n v="4560"/>
        <n v="10700"/>
        <n v="3740"/>
        <n v="7740"/>
        <n v="10080"/>
        <n v="19110"/>
        <n v="7050"/>
        <n v="29720"/>
        <n v="2560"/>
        <n v="8190"/>
        <n v="8400"/>
        <n v="6400"/>
        <n v="6220"/>
        <n v="2730"/>
        <n v="44580"/>
        <n v="15840"/>
        <n v="6840"/>
        <n v="4640"/>
        <n v="5320"/>
        <n v="10020"/>
        <n v="11160"/>
        <n v="15550"/>
        <n v="18660"/>
        <n v="9120"/>
        <n v="1110"/>
        <n v="4200"/>
        <n v="2140"/>
        <n v="23480"/>
        <n v="3100"/>
        <n v="14100"/>
        <n v="11680"/>
        <n v="10640"/>
        <n v="4380"/>
        <n v="13100"/>
        <n v="9100"/>
        <n v="7920"/>
        <n v="5280"/>
        <n v="4280"/>
        <n v="28080"/>
        <n v="37150"/>
        <n v="3800"/>
        <n v="8560"/>
        <n v="39120"/>
        <n v="5870"/>
        <n v="680"/>
        <n v="21060"/>
        <n v="760"/>
        <n v="5240"/>
        <n v="1990"/>
        <n v="16700"/>
        <n v="17040"/>
        <n v="4160"/>
        <n v="23360"/>
        <n v="1680"/>
        <n v="12150"/>
        <n v="26720"/>
        <n v="27360"/>
        <n v="22720"/>
        <n v="3120"/>
        <n v="8760"/>
        <n v="740"/>
        <n v="23220"/>
        <n v="1280"/>
        <n v="440"/>
        <n v="8800"/>
        <n v="7680"/>
        <n v="12840"/>
        <n v="1480"/>
        <n v="14040"/>
        <n v="24300"/>
        <n v="3220"/>
        <n v="13200"/>
        <n v="11000"/>
        <n v="11280"/>
        <n v="1850"/>
        <n v="6200"/>
        <n v="19900"/>
        <n v="880"/>
        <n v="10530"/>
        <n v="36740"/>
        <n v="46720"/>
        <n v="1200"/>
        <n v="5800"/>
        <n v="6420"/>
        <n v="2820"/>
        <n v="11620"/>
        <n v="9950"/>
        <n v="3780"/>
        <n v="7560"/>
        <n v="34230"/>
        <n v="16920"/>
        <n v="9280"/>
        <n v="8460"/>
        <n v="2400"/>
        <n v="19320"/>
        <n v="4500"/>
        <n v="18600"/>
        <n v="10260"/>
        <n v="18000"/>
        <n v="340"/>
        <n v="7260"/>
        <n v="9000"/>
        <n v="1700"/>
        <n v="12400"/>
        <n v="3200"/>
        <n v="14880"/>
        <n v="3630"/>
        <n v="12880"/>
        <n v="22320"/>
        <n v="19350"/>
        <n v="1160"/>
        <n v="32400"/>
        <n v="7600"/>
        <n v="11220"/>
        <n v="11940"/>
        <n v="6660"/>
        <n v="9960"/>
        <n v="2720"/>
        <n v="2000"/>
        <n v="1520"/>
        <n v="6600"/>
        <n v="31920"/>
        <n v="72000"/>
        <n v="14860"/>
        <n v="5640"/>
        <n v="3980"/>
        <n v="45600"/>
        <n v="15960"/>
        <n v="34830"/>
        <n v="22680"/>
        <n v="2280"/>
        <n v="30960"/>
        <n v="20570"/>
        <n v="5040"/>
        <n v="12600"/>
        <n v="38700"/>
        <n v="2420"/>
        <n v="26600"/>
        <n v="16600"/>
        <n v="9300"/>
        <n v="2620"/>
        <n v="29340"/>
        <n v="1410"/>
        <n v="25760"/>
        <n v="25380"/>
        <n v="13090"/>
        <n v="5130"/>
        <n v="13500"/>
        <n v="43800"/>
        <n v="17520"/>
        <n v="5880"/>
        <n v="15500"/>
        <n v="2680"/>
        <n v="17610"/>
        <n v="2430"/>
        <n v="1320"/>
        <n v="3040"/>
        <n v="1660"/>
        <n v="22800"/>
        <n v="21840"/>
        <n v="21900"/>
        <n v="5200"/>
        <n v="64800"/>
        <n v="17550"/>
        <n v="31000"/>
        <n v="14960"/>
        <n v="8550"/>
        <n v="25920"/>
        <n v="7960"/>
        <n v="4840"/>
        <n v="30060"/>
        <n v="24880"/>
        <n v="16100"/>
        <n v="6960"/>
        <n v="3700"/>
      </sharedItems>
    </cacheField>
    <cacheField name="Unit Cost" numFmtId="0">
      <sharedItems containsSemiMixedTypes="0" containsString="0" containsNumber="1" containsInteger="1" minValue="170" maxValue="8410"/>
    </cacheField>
    <cacheField name="Total Cost" numFmtId="0">
      <sharedItems containsSemiMixedTypes="0" containsString="0" containsNumber="1" containsInteger="1" minValue="170" maxValue="84100"/>
    </cacheField>
    <cacheField name="Profit" numFmtId="3">
      <sharedItems containsSemiMixedTypes="0" containsString="0" containsNumber="1" containsInteger="1" minValue="80" maxValue="32700"/>
    </cacheField>
    <cacheField name="Customer Name" numFmtId="0">
      <sharedItems count="144">
        <s v="Tamanna Mia"/>
        <s v="Jannat Islam"/>
        <s v="Tanjim Akter"/>
        <s v="Shamim Hossain"/>
        <s v="Rafi Hossain"/>
        <s v="Karim Chowdhury"/>
        <s v="Arif Hossain"/>
        <s v="Samiha Uddin"/>
        <s v="Fahim Khan"/>
        <s v="Nabila Sultana"/>
        <s v="Imran Chowdhury"/>
        <s v="Nusrat Akter"/>
        <s v="Rumana Akter"/>
        <s v="Rumana Sultana"/>
        <s v="Rasel Sultana"/>
        <s v="Mim Sultana"/>
        <s v="Sajib Hossain"/>
        <s v="Tania Hossain"/>
        <s v="Mim Akter"/>
        <s v="Samiha Islam"/>
        <s v="Karim Ahmed"/>
        <s v="Samiha Ahmed"/>
        <s v="Shamim Ahmed"/>
        <s v="Shaila Ahmed"/>
        <s v="Samiha Sultana"/>
        <s v="Shamim Rahman"/>
        <s v="Imran Mia"/>
        <s v="Shuvo Mia"/>
        <s v="Hasan Sultana"/>
        <s v="Tania Akter"/>
        <s v="Hasan Rahman"/>
        <s v="Tanvir Akter"/>
        <s v="Ayesha Sultana"/>
        <s v="Shaila Uddin"/>
        <s v="Mehedi Hossain"/>
        <s v="Shuvo Uddin"/>
        <s v="Farhana Khan"/>
        <s v="Nayeem Chowdhury"/>
        <s v="Sajib Islam"/>
        <s v="Ayesha Islam"/>
        <s v="Farhana Mia"/>
        <s v="Arif Rahman"/>
        <s v="Shakib Islam"/>
        <s v="Imran Uddin"/>
        <s v="Rahim Akter"/>
        <s v="Rafi Khan"/>
        <s v="Shakib Mia"/>
        <s v="Shamim Akter"/>
        <s v="Hasan Akter"/>
        <s v="Shuvo Sultana"/>
        <s v="Hasan Ahmed"/>
        <s v="Nabila Islam"/>
        <s v="Sadia Islam"/>
        <s v="Tanjim Ahmed"/>
        <s v="Ayesha Akter"/>
        <s v="Mim Chowdhury"/>
        <s v="Sadia Ahmed"/>
        <s v="Shaila Mia"/>
        <s v="Jannat Sultana"/>
        <s v="Shamim Khan"/>
        <s v="Mim Ahmed"/>
        <s v="Rasel Uddin"/>
        <s v="Mehedi Khan"/>
        <s v="Nabila Khan"/>
        <s v="Samiha Mia"/>
        <s v="Tania Chowdhury"/>
        <s v="Karim Islam"/>
        <s v="Sadia Chowdhury"/>
        <s v="Shakib Khan"/>
        <s v="Ayesha Ahmed"/>
        <s v="Ayesha Uddin"/>
        <s v="Fahim Akter"/>
        <s v="Hasan Uddin"/>
        <s v="Nayeem Islam"/>
        <s v="Sadia Sultana"/>
        <s v="Hasan Islam"/>
        <s v="Nayeem Hossain"/>
        <s v="Jannat Ahmed"/>
        <s v="Nayeem Mia"/>
        <s v="Mahmud Chowdhury"/>
        <s v="Tania Islam"/>
        <s v="Tanjim Khan"/>
        <s v="Karim Khan"/>
        <s v="Nabila Uddin"/>
        <s v="Rumana Chowdhury"/>
        <s v="Arif Sultana"/>
        <s v="Tamanna Hossain"/>
        <s v="Rumana Hossain"/>
        <s v="Morshed Rahman"/>
        <s v="Rasel Islam"/>
        <s v="Rasel Chowdhury"/>
        <s v="Jannat Rahman"/>
        <s v="Morshed Sultana"/>
        <s v="Tania Mia"/>
        <s v="Farhana Islam"/>
        <s v="Shuvo Khan"/>
        <s v="Karim Rahman"/>
        <s v="Sajib Sultana"/>
        <s v="Mahmud Islam"/>
        <s v="Arif Akter"/>
        <s v="Farhana Hossain"/>
        <s v="Rumana Ahmed"/>
        <s v="Mehedi Mia"/>
        <s v="Nayeem Uddin"/>
        <s v="Shuvo Hossain"/>
        <s v="Rumana Islam"/>
        <s v="Rafi Akter"/>
        <s v="Shaila Sultana"/>
        <s v="Rafi Chowdhury"/>
        <s v="Shamim Mia"/>
        <s v="Tanjim Rahman"/>
        <s v="Tanjim Chowdhury"/>
        <s v="Karim Mia"/>
        <s v="Mahmud Sultana"/>
        <s v="Jannat Hossain"/>
        <s v="Arif Ahmed"/>
        <s v="Mahmud Uddin"/>
        <s v="Mahmud Mia"/>
        <s v="Shakib Uddin"/>
        <s v="Sajib Rahman"/>
        <s v="Mahmud Ahmed"/>
        <s v="Rasel Ahmed"/>
        <s v="Rasel Hossain"/>
        <s v="Arif Khan"/>
        <s v="Rahim Khan"/>
        <s v="Farhana Ahmed"/>
        <s v="Shaila Hossain"/>
        <s v="Tamanna Rahman"/>
        <s v="Tamanna Islam"/>
        <s v="Shamim Uddin"/>
        <s v="Imran Khan"/>
        <s v="Rahim Sultana"/>
        <s v="Nabila Chowdhury"/>
        <s v="Morshed Hossain"/>
        <s v="Tanvir Hossain"/>
        <s v="Tania Sultana"/>
        <s v="Rasel Akter"/>
        <s v="Mim Hossain"/>
        <s v="Imran Islam"/>
        <s v="Shuvo Chowdhury"/>
        <s v="Nayeem Rahman"/>
        <s v="Jannat Khan"/>
        <s v="Shuvo Akter"/>
        <s v="Rahim Ahmed"/>
      </sharedItems>
    </cacheField>
    <cacheField name="Sales Man" numFmtId="0">
      <sharedItems count="48">
        <s v="Tania Hossain"/>
        <s v="Imran Khan"/>
        <s v="Farhana Rahman"/>
        <s v="Morshed Islam"/>
        <s v="Farhana Uddin"/>
        <s v="Fahim Mia"/>
        <s v="Tania Sultana"/>
        <s v="Morshed Ahmed"/>
        <s v="Shaila Akter"/>
        <s v="Imran Mia"/>
        <s v="Nayeem Akter"/>
        <s v="Rahim Rahman"/>
        <s v="Mehedi Khan"/>
        <s v="Fahim Uddin"/>
        <s v="Rafi Islam"/>
        <s v="Rafi Akter"/>
        <s v="Sadia Sultana"/>
        <s v="Sajib Rahman"/>
        <s v="Nabila Mia"/>
        <s v="Fahim Hossain"/>
        <s v="Hasan Mia"/>
        <s v="Nayeem Rahman"/>
        <s v="Shaila Uddin"/>
        <s v="Rumana Khan"/>
        <s v="Tania Chowdhury"/>
        <s v="Rumana Rahman"/>
        <s v="Hasan Khan"/>
        <s v="Tanvir Islam"/>
        <s v="Rasel Rahman"/>
        <s v="Rafi Ahmed"/>
        <s v="Mim Rahman"/>
        <s v="Tamanna Sultana"/>
        <s v="Rasel Akter"/>
        <s v="Rasel Uddin"/>
        <s v="Morshed Chowdhury"/>
        <s v="Rahim Hossain"/>
        <s v="Nusrat Akter"/>
        <s v="Sadia Islam"/>
        <s v="Mehedi Chowdhury"/>
        <s v="Shakib Ahmed"/>
        <s v="Mahmud Chowdhury"/>
        <s v="Rafi Sultana"/>
        <s v="Samiha Hossain"/>
        <s v="Tanvir Chowdhury"/>
        <s v="Mahmud Hossain"/>
        <s v="Samiha Islam"/>
        <s v="Karim Khan"/>
        <s v="Mim Akter"/>
      </sharedItems>
    </cacheField>
    <cacheField name="Region" numFmtId="0">
      <sharedItems count="8">
        <s v="Rangpur"/>
        <s v="Rajshahi"/>
        <s v="Mymensingh"/>
        <s v="Sylhet"/>
        <s v="Dhaka"/>
        <s v="Barishal"/>
        <s v="Khulna"/>
        <s v="Chattogram"/>
      </sharedItems>
    </cacheField>
    <cacheField name="Store Name" numFmtId="0">
      <sharedItems count="40">
        <s v="Rangpur Jahaj Company Store"/>
        <s v="Rajshahi Railgate Store"/>
        <s v="Rajshahi Kazla Store"/>
        <s v="Mymensingh Ganginarpar Store"/>
        <s v="Sylhet Upashahar Store"/>
        <s v="Dhaka Mirpur Store"/>
        <s v="Rangpur Shapla Chattar Store"/>
        <s v="Barishal Kawnia Store"/>
        <s v="Dhaka Dhanmondi Store"/>
        <s v="Barishal Nathullabad Store"/>
        <s v="Mymensingh Charpara Store"/>
        <s v="Barishal Sadar Road Store"/>
        <s v="Barishal Chowmatha Store"/>
        <s v="Rangpur Dhap Store"/>
        <s v="Khulna Khalishpur Store"/>
        <s v="Dhaka Motijheel Store"/>
        <s v="Chattogram Panchlaish Store"/>
        <s v="Khulna Daulatpur Store"/>
        <s v="Rajshahi Uposhohor Store"/>
        <s v="Khulna Boyra Store"/>
        <s v="Mymensingh Town Hall Store"/>
        <s v="Sylhet Subidbazar Store"/>
        <s v="Chattogram GEC Store"/>
        <s v="Sylhet South Surma Store"/>
        <s v="Khulna Sonadanga Store"/>
        <s v="Sylhet Zindabazar Store"/>
        <s v="Rangpur Modern More Store"/>
        <s v="Barishal Rupatali Store"/>
        <s v="Mymensingh Maskanda Store"/>
        <s v="Dhaka Gulshan Store"/>
        <s v="Khulna Shibbari Store"/>
        <s v="Chattogram Halishahar Store"/>
        <s v="Sylhet Ambarkhana Store"/>
        <s v="Chattogram Nasirabad Store"/>
        <s v="Mymensingh Kewatkhali Store"/>
        <s v="Dhaka Uttara Store"/>
        <s v="Rajshahi Shaheb Bazar Store"/>
        <s v="Chattogram Agrabad Store"/>
        <s v="Rajshahi Lakshmipur Store"/>
        <s v="Rangpur Central Road Store"/>
      </sharedItems>
    </cacheField>
    <cacheField name="Target Achived" numFmtId="0" formula="Sales_Amount/Target_Sales" databaseField="0"/>
    <cacheField name="Target Achieved Ratio" numFmtId="0" formula="Sales_Amount/Target_Sales" databaseField="0"/>
  </cacheFields>
  <extLst>
    <ext xmlns:x14="http://schemas.microsoft.com/office/spreadsheetml/2009/9/main" uri="{725AE2AE-9491-48be-B2B4-4EB974FC3084}">
      <x14:pivotCacheDefinition pivotCacheId="446853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00001"/>
    <x v="0"/>
    <s v="CUS-RAN-017"/>
    <s v="R07"/>
    <s v="ST-RAN-01"/>
    <x v="0"/>
    <s v="P006"/>
    <n v="1"/>
    <n v="0.15"/>
    <n v="8280"/>
    <n v="9"/>
    <x v="0"/>
    <s v="Electric Kettle"/>
    <s v="Home Appliance"/>
    <n v="7200"/>
    <x v="0"/>
    <n v="5040"/>
    <n v="5040"/>
    <n v="2160"/>
    <x v="0"/>
    <x v="0"/>
    <x v="0"/>
    <x v="0"/>
  </r>
  <r>
    <s v="ORD-00002"/>
    <x v="1"/>
    <s v="CUS-RAJ-004"/>
    <s v="R04"/>
    <s v="ST-RAJ-04"/>
    <x v="1"/>
    <s v="P036"/>
    <n v="1"/>
    <n v="0"/>
    <n v="432"/>
    <n v="2"/>
    <x v="1"/>
    <s v="Notebook Pack"/>
    <s v="Stationery"/>
    <n v="400"/>
    <x v="1"/>
    <n v="200"/>
    <n v="200"/>
    <n v="200"/>
    <x v="1"/>
    <x v="1"/>
    <x v="1"/>
    <x v="1"/>
  </r>
  <r>
    <s v="ORD-00003"/>
    <x v="2"/>
    <s v="CUS-RAJ-005"/>
    <s v="R04"/>
    <s v="ST-RAJ-02"/>
    <x v="2"/>
    <s v="P009"/>
    <n v="4"/>
    <n v="0.08"/>
    <n v="19699"/>
    <n v="7"/>
    <x v="2"/>
    <s v="Steam Iron"/>
    <s v="Home Appliance"/>
    <n v="4560"/>
    <x v="2"/>
    <n v="3190"/>
    <n v="12760"/>
    <n v="5480"/>
    <x v="2"/>
    <x v="2"/>
    <x v="1"/>
    <x v="2"/>
  </r>
  <r>
    <s v="ORD-00004"/>
    <x v="3"/>
    <s v="CUS-MYM-005"/>
    <s v="R08"/>
    <s v="ST-MYM-01"/>
    <x v="3"/>
    <s v="P003"/>
    <n v="3"/>
    <n v="0.15"/>
    <n v="9202"/>
    <n v="4"/>
    <x v="3"/>
    <s v="Power Bank"/>
    <s v="Electronics"/>
    <n v="2840"/>
    <x v="3"/>
    <n v="1930"/>
    <n v="5790"/>
    <n v="2730"/>
    <x v="3"/>
    <x v="3"/>
    <x v="2"/>
    <x v="3"/>
  </r>
  <r>
    <s v="ORD-00005"/>
    <x v="4"/>
    <s v="CUS-RAN-016"/>
    <s v="R07"/>
    <s v="ST-RAN-01"/>
    <x v="4"/>
    <s v="P028"/>
    <n v="2"/>
    <n v="0.05"/>
    <n v="7406"/>
    <n v="6"/>
    <x v="4"/>
    <s v="Ladies Sandal"/>
    <s v="Footwear"/>
    <n v="3220"/>
    <x v="4"/>
    <n v="1930"/>
    <n v="3860"/>
    <n v="2580"/>
    <x v="0"/>
    <x v="4"/>
    <x v="0"/>
    <x v="0"/>
  </r>
  <r>
    <s v="ORD-00006"/>
    <x v="5"/>
    <s v="CUS-SYL-002"/>
    <s v="R03"/>
    <s v="ST-SYL-05"/>
    <x v="5"/>
    <s v="P023"/>
    <n v="2"/>
    <n v="0.12"/>
    <n v="2482"/>
    <n v="5"/>
    <x v="5"/>
    <s v="Body Lotion"/>
    <s v="Beauty &amp; Personal Care"/>
    <n v="1160"/>
    <x v="5"/>
    <n v="670"/>
    <n v="1340"/>
    <n v="980"/>
    <x v="4"/>
    <x v="5"/>
    <x v="3"/>
    <x v="4"/>
  </r>
  <r>
    <s v="ORD-00007"/>
    <x v="6"/>
    <s v="CUS-MYM-002"/>
    <s v="R08"/>
    <s v="ST-MYM-01"/>
    <x v="3"/>
    <s v="P009"/>
    <n v="3"/>
    <n v="0.1"/>
    <n v="14774"/>
    <n v="4"/>
    <x v="6"/>
    <s v="Steam Iron"/>
    <s v="Home Appliance"/>
    <n v="4560"/>
    <x v="6"/>
    <n v="3190"/>
    <n v="9570"/>
    <n v="4110"/>
    <x v="5"/>
    <x v="3"/>
    <x v="2"/>
    <x v="3"/>
  </r>
  <r>
    <s v="ORD-00008"/>
    <x v="7"/>
    <s v="CUS-DHA-013"/>
    <s v="R01"/>
    <s v="ST-DHA-03"/>
    <x v="6"/>
    <s v="P018"/>
    <n v="2"/>
    <n v="0.03"/>
    <n v="3625"/>
    <n v="1"/>
    <x v="7"/>
    <s v="Lentil 1kg"/>
    <s v="Grocery"/>
    <n v="1710"/>
    <x v="7"/>
    <n v="1330"/>
    <n v="2660"/>
    <n v="760"/>
    <x v="6"/>
    <x v="6"/>
    <x v="4"/>
    <x v="5"/>
  </r>
  <r>
    <s v="ORD-00009"/>
    <x v="8"/>
    <s v="CUS-RAN-009"/>
    <s v="R07"/>
    <s v="ST-RAN-02"/>
    <x v="7"/>
    <s v="P007"/>
    <n v="1"/>
    <n v="0.12"/>
    <n v="8544"/>
    <n v="13"/>
    <x v="8"/>
    <s v="Rice Cooker"/>
    <s v="Home Appliance"/>
    <n v="7430"/>
    <x v="8"/>
    <n v="5200"/>
    <n v="5200"/>
    <n v="2230"/>
    <x v="7"/>
    <x v="7"/>
    <x v="0"/>
    <x v="6"/>
  </r>
  <r>
    <s v="ORD-00010"/>
    <x v="9"/>
    <s v="CUS-BAR-025"/>
    <s v="R06"/>
    <s v="ST-BAR-05"/>
    <x v="8"/>
    <s v="P049"/>
    <n v="1"/>
    <n v="7.0000000000000007E-2"/>
    <n v="4738"/>
    <n v="9"/>
    <x v="9"/>
    <s v="Bookshelf"/>
    <s v="Furniture"/>
    <n v="4230"/>
    <x v="9"/>
    <n v="3050"/>
    <n v="3050"/>
    <n v="1180"/>
    <x v="8"/>
    <x v="8"/>
    <x v="5"/>
    <x v="7"/>
  </r>
  <r>
    <s v="ORD-00011"/>
    <x v="10"/>
    <s v="CUS-DHA-025"/>
    <s v="R01"/>
    <s v="ST-DHA-02"/>
    <x v="9"/>
    <s v="P039"/>
    <n v="2"/>
    <n v="0.02"/>
    <n v="2205"/>
    <n v="3"/>
    <x v="10"/>
    <s v="Marker Set"/>
    <s v="Stationery"/>
    <n v="1040"/>
    <x v="10"/>
    <n v="520"/>
    <n v="1040"/>
    <n v="1040"/>
    <x v="9"/>
    <x v="9"/>
    <x v="4"/>
    <x v="8"/>
  </r>
  <r>
    <s v="ORD-00012"/>
    <x v="11"/>
    <s v="CUS-BAR-019"/>
    <s v="R06"/>
    <s v="ST-BAR-01"/>
    <x v="10"/>
    <s v="P029"/>
    <n v="3"/>
    <n v="0.05"/>
    <n v="9005"/>
    <n v="7"/>
    <x v="11"/>
    <s v="Kids Sneaker"/>
    <s v="Footwear"/>
    <n v="2680"/>
    <x v="11"/>
    <n v="1610"/>
    <n v="4830"/>
    <n v="3210"/>
    <x v="10"/>
    <x v="10"/>
    <x v="5"/>
    <x v="9"/>
  </r>
  <r>
    <s v="ORD-00013"/>
    <x v="12"/>
    <s v="CUS-MYM-018"/>
    <s v="R08"/>
    <s v="ST-MYM-03"/>
    <x v="11"/>
    <s v="P014"/>
    <n v="3"/>
    <n v="0.05"/>
    <n v="2851"/>
    <n v="6"/>
    <x v="4"/>
    <s v="Denim Jeans"/>
    <s v="Fashion"/>
    <n v="880"/>
    <x v="12"/>
    <n v="480"/>
    <n v="1440"/>
    <n v="1200"/>
    <x v="11"/>
    <x v="11"/>
    <x v="2"/>
    <x v="10"/>
  </r>
  <r>
    <s v="ORD-00014"/>
    <x v="13"/>
    <s v="CUS-BAR-020"/>
    <s v="R06"/>
    <s v="ST-BAR-02"/>
    <x v="8"/>
    <s v="P008"/>
    <n v="6"/>
    <n v="0.12"/>
    <n v="16330"/>
    <n v="7"/>
    <x v="12"/>
    <s v="Blender Machine"/>
    <s v="Home Appliance"/>
    <n v="2430"/>
    <x v="13"/>
    <n v="1700"/>
    <n v="10200"/>
    <n v="4380"/>
    <x v="12"/>
    <x v="8"/>
    <x v="5"/>
    <x v="11"/>
  </r>
  <r>
    <s v="ORD-00015"/>
    <x v="11"/>
    <s v="CUS-DHA-001"/>
    <s v="R01"/>
    <s v="ST-DHA-02"/>
    <x v="9"/>
    <s v="P029"/>
    <n v="4"/>
    <n v="0.12"/>
    <n v="11363"/>
    <n v="5"/>
    <x v="5"/>
    <s v="Kids Sneaker"/>
    <s v="Footwear"/>
    <n v="2680"/>
    <x v="14"/>
    <n v="1610"/>
    <n v="6440"/>
    <n v="4280"/>
    <x v="13"/>
    <x v="9"/>
    <x v="4"/>
    <x v="8"/>
  </r>
  <r>
    <s v="ORD-00016"/>
    <x v="14"/>
    <s v="CUS-BAR-023"/>
    <s v="R06"/>
    <s v="ST-BAR-04"/>
    <x v="12"/>
    <s v="P002"/>
    <n v="2"/>
    <n v="0.1"/>
    <n v="7482"/>
    <n v="1"/>
    <x v="13"/>
    <s v="Wireless Mouse"/>
    <s v="Electronics"/>
    <n v="3340"/>
    <x v="15"/>
    <n v="2270"/>
    <n v="4540"/>
    <n v="2140"/>
    <x v="14"/>
    <x v="12"/>
    <x v="5"/>
    <x v="12"/>
  </r>
  <r>
    <s v="ORD-00017"/>
    <x v="15"/>
    <s v="CUS-RAN-021"/>
    <s v="R07"/>
    <s v="ST-RAN-04"/>
    <x v="0"/>
    <s v="P007"/>
    <n v="1"/>
    <n v="0.18"/>
    <n v="8544"/>
    <n v="9"/>
    <x v="14"/>
    <s v="Rice Cooker"/>
    <s v="Home Appliance"/>
    <n v="7430"/>
    <x v="8"/>
    <n v="5200"/>
    <n v="5200"/>
    <n v="2230"/>
    <x v="15"/>
    <x v="0"/>
    <x v="0"/>
    <x v="13"/>
  </r>
  <r>
    <s v="ORD-00018"/>
    <x v="16"/>
    <s v="CUS-KHL-005"/>
    <s v="R05"/>
    <s v="ST-KHL-02"/>
    <x v="13"/>
    <s v="P001"/>
    <n v="5"/>
    <n v="0.18"/>
    <n v="17658"/>
    <n v="1"/>
    <x v="15"/>
    <s v="Bluetooth Speaker"/>
    <s v="Electronics"/>
    <n v="3240"/>
    <x v="16"/>
    <n v="2200"/>
    <n v="11000"/>
    <n v="5200"/>
    <x v="16"/>
    <x v="13"/>
    <x v="6"/>
    <x v="14"/>
  </r>
  <r>
    <s v="ORD-00019"/>
    <x v="17"/>
    <s v="CUS-DHA-006"/>
    <s v="R01"/>
    <s v="ST-DHA-05"/>
    <x v="14"/>
    <s v="P045"/>
    <n v="3"/>
    <n v="0.03"/>
    <n v="2671"/>
    <n v="3"/>
    <x v="10"/>
    <s v="Kids Story Book"/>
    <s v="Kids &amp; Toys"/>
    <n v="840"/>
    <x v="17"/>
    <n v="460"/>
    <n v="1380"/>
    <n v="1140"/>
    <x v="17"/>
    <x v="14"/>
    <x v="4"/>
    <x v="15"/>
  </r>
  <r>
    <s v="ORD-00020"/>
    <x v="18"/>
    <s v="CUS-CTG-008"/>
    <s v="R02"/>
    <s v="ST-CTG-03"/>
    <x v="15"/>
    <s v="P004"/>
    <n v="7"/>
    <n v="0.12"/>
    <n v="30883"/>
    <n v="5"/>
    <x v="5"/>
    <s v="Smart Watch"/>
    <s v="Electronics"/>
    <n v="3870"/>
    <x v="18"/>
    <n v="2630"/>
    <n v="18410"/>
    <n v="8680"/>
    <x v="18"/>
    <x v="15"/>
    <x v="7"/>
    <x v="16"/>
  </r>
  <r>
    <s v="ORD-00021"/>
    <x v="19"/>
    <s v="CUS-MYM-001"/>
    <s v="R08"/>
    <s v="ST-MYM-03"/>
    <x v="11"/>
    <s v="P005"/>
    <n v="2"/>
    <n v="0.08"/>
    <n v="10562"/>
    <n v="6"/>
    <x v="16"/>
    <s v="USB-C Hub"/>
    <s v="Electronics"/>
    <n v="4890"/>
    <x v="19"/>
    <n v="3330"/>
    <n v="6660"/>
    <n v="3120"/>
    <x v="19"/>
    <x v="11"/>
    <x v="2"/>
    <x v="10"/>
  </r>
  <r>
    <s v="ORD-00022"/>
    <x v="20"/>
    <s v="CUS-RAN-006"/>
    <s v="R07"/>
    <s v="ST-RAN-04"/>
    <x v="4"/>
    <s v="P042"/>
    <n v="3"/>
    <n v="0.1"/>
    <n v="6279"/>
    <n v="7"/>
    <x v="12"/>
    <s v="Toy Car Set"/>
    <s v="Kids &amp; Toys"/>
    <n v="1820"/>
    <x v="20"/>
    <n v="1000"/>
    <n v="3000"/>
    <n v="2460"/>
    <x v="20"/>
    <x v="4"/>
    <x v="0"/>
    <x v="13"/>
  </r>
  <r>
    <s v="ORD-00023"/>
    <x v="21"/>
    <s v="CUS-RAJ-006"/>
    <s v="R04"/>
    <s v="ST-RAJ-04"/>
    <x v="1"/>
    <s v="P036"/>
    <n v="2"/>
    <n v="0.03"/>
    <n v="864"/>
    <n v="4"/>
    <x v="17"/>
    <s v="Notebook Pack"/>
    <s v="Stationery"/>
    <n v="400"/>
    <x v="21"/>
    <n v="200"/>
    <n v="400"/>
    <n v="400"/>
    <x v="21"/>
    <x v="1"/>
    <x v="1"/>
    <x v="1"/>
  </r>
  <r>
    <s v="ORD-00024"/>
    <x v="22"/>
    <s v="CUS-BAR-006"/>
    <s v="R06"/>
    <s v="ST-BAR-04"/>
    <x v="8"/>
    <s v="P031"/>
    <n v="4"/>
    <n v="0.1"/>
    <n v="11827"/>
    <n v="6"/>
    <x v="16"/>
    <s v="Cricket Bat"/>
    <s v="Sports"/>
    <n v="2640"/>
    <x v="22"/>
    <n v="1640"/>
    <n v="6560"/>
    <n v="4000"/>
    <x v="22"/>
    <x v="8"/>
    <x v="5"/>
    <x v="12"/>
  </r>
  <r>
    <s v="ORD-00025"/>
    <x v="23"/>
    <s v="CUS-DHA-014"/>
    <s v="R01"/>
    <s v="ST-DHA-02"/>
    <x v="9"/>
    <s v="P043"/>
    <n v="1"/>
    <n v="7.0000000000000007E-2"/>
    <n v="2332"/>
    <n v="2"/>
    <x v="18"/>
    <s v="Puzzle Board"/>
    <s v="Kids &amp; Toys"/>
    <n v="2200"/>
    <x v="23"/>
    <n v="1210"/>
    <n v="1210"/>
    <n v="990"/>
    <x v="23"/>
    <x v="9"/>
    <x v="4"/>
    <x v="8"/>
  </r>
  <r>
    <s v="ORD-00026"/>
    <x v="24"/>
    <s v="CUS-KHL-022"/>
    <s v="R05"/>
    <s v="ST-KHL-03"/>
    <x v="16"/>
    <s v="P005"/>
    <n v="2"/>
    <n v="0.18"/>
    <n v="10660"/>
    <n v="4"/>
    <x v="19"/>
    <s v="USB-C Hub"/>
    <s v="Electronics"/>
    <n v="4890"/>
    <x v="19"/>
    <n v="3330"/>
    <n v="6660"/>
    <n v="3120"/>
    <x v="24"/>
    <x v="16"/>
    <x v="6"/>
    <x v="17"/>
  </r>
  <r>
    <s v="ORD-00027"/>
    <x v="25"/>
    <s v="CUS-MYM-005"/>
    <s v="R08"/>
    <s v="ST-MYM-01"/>
    <x v="3"/>
    <s v="P001"/>
    <n v="4"/>
    <n v="0.18"/>
    <n v="13997"/>
    <n v="3"/>
    <x v="20"/>
    <s v="Bluetooth Speaker"/>
    <s v="Electronics"/>
    <n v="3240"/>
    <x v="24"/>
    <n v="2200"/>
    <n v="8800"/>
    <n v="4160"/>
    <x v="3"/>
    <x v="3"/>
    <x v="2"/>
    <x v="3"/>
  </r>
  <r>
    <s v="ORD-00028"/>
    <x v="26"/>
    <s v="CUS-RAJ-006"/>
    <s v="R04"/>
    <s v="ST-RAJ-03"/>
    <x v="1"/>
    <s v="P013"/>
    <n v="3"/>
    <n v="0.1"/>
    <n v="6448"/>
    <n v="4"/>
    <x v="6"/>
    <s v="Women Kurti"/>
    <s v="Fashion"/>
    <n v="1990"/>
    <x v="25"/>
    <n v="1090"/>
    <n v="3270"/>
    <n v="2700"/>
    <x v="21"/>
    <x v="1"/>
    <x v="1"/>
    <x v="18"/>
  </r>
  <r>
    <s v="ORD-00029"/>
    <x v="27"/>
    <s v="CUS-MYM-022"/>
    <s v="R08"/>
    <s v="ST-MYM-03"/>
    <x v="17"/>
    <s v="P025"/>
    <n v="1"/>
    <n v="0.1"/>
    <n v="1361"/>
    <n v="3"/>
    <x v="21"/>
    <s v="Perfume Spray"/>
    <s v="Beauty &amp; Personal Care"/>
    <n v="1260"/>
    <x v="26"/>
    <n v="730"/>
    <n v="730"/>
    <n v="530"/>
    <x v="25"/>
    <x v="17"/>
    <x v="2"/>
    <x v="10"/>
  </r>
  <r>
    <s v="ORD-00030"/>
    <x v="28"/>
    <s v="CUS-KHL-015"/>
    <s v="R05"/>
    <s v="ST-KHL-04"/>
    <x v="16"/>
    <s v="P005"/>
    <n v="3"/>
    <n v="0.1"/>
    <n v="15990"/>
    <n v="4"/>
    <x v="6"/>
    <s v="USB-C Hub"/>
    <s v="Electronics"/>
    <n v="4890"/>
    <x v="27"/>
    <n v="3330"/>
    <n v="9990"/>
    <n v="4680"/>
    <x v="26"/>
    <x v="16"/>
    <x v="6"/>
    <x v="19"/>
  </r>
  <r>
    <s v="ORD-00031"/>
    <x v="29"/>
    <s v="CUS-CTG-003"/>
    <s v="R02"/>
    <s v="ST-CTG-03"/>
    <x v="18"/>
    <s v="P010"/>
    <n v="3"/>
    <n v="0.15"/>
    <n v="10636"/>
    <n v="8"/>
    <x v="22"/>
    <s v="Table Fan"/>
    <s v="Home Appliance"/>
    <n v="3110"/>
    <x v="28"/>
    <n v="2180"/>
    <n v="6540"/>
    <n v="2790"/>
    <x v="27"/>
    <x v="18"/>
    <x v="7"/>
    <x v="16"/>
  </r>
  <r>
    <s v="ORD-00032"/>
    <x v="30"/>
    <s v="CUS-MYM-019"/>
    <s v="R08"/>
    <s v="ST-MYM-02"/>
    <x v="19"/>
    <s v="P006"/>
    <n v="6"/>
    <n v="0.08"/>
    <n v="46656"/>
    <n v="4"/>
    <x v="6"/>
    <s v="Electric Kettle"/>
    <s v="Home Appliance"/>
    <n v="7200"/>
    <x v="29"/>
    <n v="5040"/>
    <n v="30240"/>
    <n v="12960"/>
    <x v="28"/>
    <x v="19"/>
    <x v="2"/>
    <x v="20"/>
  </r>
  <r>
    <s v="ORD-00033"/>
    <x v="31"/>
    <s v="CUS-SYL-004"/>
    <s v="R03"/>
    <s v="ST-SYL-04"/>
    <x v="20"/>
    <s v="P047"/>
    <n v="8"/>
    <n v="0.05"/>
    <n v="99981"/>
    <n v="6"/>
    <x v="4"/>
    <s v="Study Table"/>
    <s v="Furniture"/>
    <n v="11680"/>
    <x v="30"/>
    <n v="8410"/>
    <n v="67280"/>
    <n v="26160"/>
    <x v="29"/>
    <x v="20"/>
    <x v="3"/>
    <x v="21"/>
  </r>
  <r>
    <s v="ORD-00034"/>
    <x v="32"/>
    <s v="CUS-RAN-007"/>
    <s v="R07"/>
    <s v="ST-RAN-02"/>
    <x v="21"/>
    <s v="P005"/>
    <n v="3"/>
    <n v="0.15"/>
    <n v="16870"/>
    <n v="7"/>
    <x v="23"/>
    <s v="USB-C Hub"/>
    <s v="Electronics"/>
    <n v="4890"/>
    <x v="27"/>
    <n v="3330"/>
    <n v="9990"/>
    <n v="4680"/>
    <x v="30"/>
    <x v="21"/>
    <x v="0"/>
    <x v="6"/>
  </r>
  <r>
    <s v="ORD-00035"/>
    <x v="33"/>
    <s v="CUS-BAR-009"/>
    <s v="R06"/>
    <s v="ST-BAR-05"/>
    <x v="22"/>
    <s v="P045"/>
    <n v="4"/>
    <n v="0.12"/>
    <n v="3763"/>
    <n v="2"/>
    <x v="24"/>
    <s v="Kids Story Book"/>
    <s v="Kids &amp; Toys"/>
    <n v="840"/>
    <x v="31"/>
    <n v="460"/>
    <n v="1840"/>
    <n v="1520"/>
    <x v="31"/>
    <x v="22"/>
    <x v="5"/>
    <x v="7"/>
  </r>
  <r>
    <s v="ORD-00036"/>
    <x v="9"/>
    <s v="CUS-CTG-014"/>
    <s v="R02"/>
    <s v="ST-CTG-02"/>
    <x v="23"/>
    <s v="P019"/>
    <n v="8"/>
    <n v="0"/>
    <n v="4013"/>
    <n v="3"/>
    <x v="10"/>
    <s v="Flour 2kg"/>
    <s v="Grocery"/>
    <n v="440"/>
    <x v="32"/>
    <n v="340"/>
    <n v="2720"/>
    <n v="800"/>
    <x v="32"/>
    <x v="23"/>
    <x v="7"/>
    <x v="22"/>
  </r>
  <r>
    <s v="ORD-00037"/>
    <x v="34"/>
    <s v="CUS-KHL-018"/>
    <s v="R05"/>
    <s v="ST-KHL-03"/>
    <x v="24"/>
    <s v="P005"/>
    <n v="3"/>
    <n v="0.15"/>
    <n v="15990"/>
    <n v="4"/>
    <x v="3"/>
    <s v="USB-C Hub"/>
    <s v="Electronics"/>
    <n v="4890"/>
    <x v="27"/>
    <n v="3330"/>
    <n v="9990"/>
    <n v="4680"/>
    <x v="32"/>
    <x v="24"/>
    <x v="6"/>
    <x v="17"/>
  </r>
  <r>
    <s v="ORD-00038"/>
    <x v="35"/>
    <s v="CUS-SYL-020"/>
    <s v="R03"/>
    <s v="ST-SYL-05"/>
    <x v="25"/>
    <s v="P028"/>
    <n v="2"/>
    <n v="7.0000000000000007E-2"/>
    <n v="6891"/>
    <n v="3"/>
    <x v="25"/>
    <s v="Ladies Sandal"/>
    <s v="Footwear"/>
    <n v="3220"/>
    <x v="4"/>
    <n v="1930"/>
    <n v="3860"/>
    <n v="2580"/>
    <x v="33"/>
    <x v="25"/>
    <x v="3"/>
    <x v="4"/>
  </r>
  <r>
    <s v="ORD-00039"/>
    <x v="36"/>
    <s v="CUS-RAJ-002"/>
    <s v="R04"/>
    <s v="ST-RAJ-04"/>
    <x v="26"/>
    <s v="P043"/>
    <n v="2"/>
    <n v="7.0000000000000007E-2"/>
    <n v="4752"/>
    <n v="3"/>
    <x v="25"/>
    <s v="Puzzle Board"/>
    <s v="Kids &amp; Toys"/>
    <n v="2200"/>
    <x v="33"/>
    <n v="1210"/>
    <n v="2420"/>
    <n v="1980"/>
    <x v="34"/>
    <x v="26"/>
    <x v="1"/>
    <x v="1"/>
  </r>
  <r>
    <s v="ORD-00040"/>
    <x v="37"/>
    <s v="CUS-CTG-008"/>
    <s v="R02"/>
    <s v="ST-CTG-02"/>
    <x v="15"/>
    <s v="P049"/>
    <n v="5"/>
    <n v="7.0000000000000007E-2"/>
    <n v="24111"/>
    <n v="10"/>
    <x v="26"/>
    <s v="Bookshelf"/>
    <s v="Furniture"/>
    <n v="4230"/>
    <x v="34"/>
    <n v="3050"/>
    <n v="15250"/>
    <n v="5900"/>
    <x v="18"/>
    <x v="15"/>
    <x v="7"/>
    <x v="22"/>
  </r>
  <r>
    <s v="ORD-00041"/>
    <x v="38"/>
    <s v="CUS-RAN-020"/>
    <s v="R07"/>
    <s v="ST-RAN-01"/>
    <x v="27"/>
    <s v="P011"/>
    <n v="4"/>
    <n v="0.12"/>
    <n v="8602"/>
    <n v="8"/>
    <x v="27"/>
    <s v="Cotton T-Shirt"/>
    <s v="Fashion"/>
    <n v="1870"/>
    <x v="35"/>
    <n v="1030"/>
    <n v="4120"/>
    <n v="3360"/>
    <x v="35"/>
    <x v="27"/>
    <x v="0"/>
    <x v="0"/>
  </r>
  <r>
    <s v="ORD-00042"/>
    <x v="39"/>
    <s v="CUS-SYL-003"/>
    <s v="R03"/>
    <s v="ST-SYL-03"/>
    <x v="25"/>
    <s v="P015"/>
    <n v="4"/>
    <n v="0.12"/>
    <n v="11214"/>
    <n v="1"/>
    <x v="1"/>
    <s v="Leather Belt"/>
    <s v="Fashion"/>
    <n v="2620"/>
    <x v="36"/>
    <n v="1440"/>
    <n v="5760"/>
    <n v="4720"/>
    <x v="36"/>
    <x v="25"/>
    <x v="3"/>
    <x v="23"/>
  </r>
  <r>
    <s v="ORD-00043"/>
    <x v="40"/>
    <s v="CUS-DHA-006"/>
    <s v="R01"/>
    <s v="ST-DHA-02"/>
    <x v="28"/>
    <s v="P039"/>
    <n v="1"/>
    <n v="0"/>
    <n v="1102"/>
    <n v="4"/>
    <x v="17"/>
    <s v="Marker Set"/>
    <s v="Stationery"/>
    <n v="1040"/>
    <x v="37"/>
    <n v="520"/>
    <n v="520"/>
    <n v="520"/>
    <x v="17"/>
    <x v="28"/>
    <x v="4"/>
    <x v="8"/>
  </r>
  <r>
    <s v="ORD-00044"/>
    <x v="41"/>
    <s v="CUS-KHL-012"/>
    <s v="R05"/>
    <s v="ST-KHL-04"/>
    <x v="29"/>
    <s v="P010"/>
    <n v="4"/>
    <n v="0.1"/>
    <n v="13560"/>
    <n v="4"/>
    <x v="6"/>
    <s v="Table Fan"/>
    <s v="Home Appliance"/>
    <n v="3110"/>
    <x v="38"/>
    <n v="2180"/>
    <n v="8720"/>
    <n v="3720"/>
    <x v="37"/>
    <x v="29"/>
    <x v="6"/>
    <x v="19"/>
  </r>
  <r>
    <s v="ORD-00045"/>
    <x v="42"/>
    <s v="CUS-BAR-016"/>
    <s v="R06"/>
    <s v="ST-BAR-05"/>
    <x v="22"/>
    <s v="P004"/>
    <n v="3"/>
    <n v="0.12"/>
    <n v="13003"/>
    <n v="3"/>
    <x v="21"/>
    <s v="Smart Watch"/>
    <s v="Electronics"/>
    <n v="3870"/>
    <x v="39"/>
    <n v="2630"/>
    <n v="7890"/>
    <n v="3720"/>
    <x v="38"/>
    <x v="22"/>
    <x v="5"/>
    <x v="7"/>
  </r>
  <r>
    <s v="ORD-00046"/>
    <x v="24"/>
    <s v="CUS-KHL-024"/>
    <s v="R05"/>
    <s v="ST-KHL-01"/>
    <x v="16"/>
    <s v="P001"/>
    <n v="1"/>
    <n v="0.18"/>
    <n v="3532"/>
    <n v="6"/>
    <x v="11"/>
    <s v="Bluetooth Speaker"/>
    <s v="Electronics"/>
    <n v="3240"/>
    <x v="40"/>
    <n v="2200"/>
    <n v="2200"/>
    <n v="1040"/>
    <x v="39"/>
    <x v="16"/>
    <x v="6"/>
    <x v="24"/>
  </r>
  <r>
    <s v="ORD-00047"/>
    <x v="43"/>
    <s v="CUS-RAJ-008"/>
    <s v="R04"/>
    <s v="ST-RAJ-02"/>
    <x v="30"/>
    <s v="P004"/>
    <n v="3"/>
    <n v="0.08"/>
    <n v="12539"/>
    <n v="3"/>
    <x v="25"/>
    <s v="Smart Watch"/>
    <s v="Electronics"/>
    <n v="3870"/>
    <x v="39"/>
    <n v="2630"/>
    <n v="7890"/>
    <n v="3720"/>
    <x v="40"/>
    <x v="30"/>
    <x v="1"/>
    <x v="2"/>
  </r>
  <r>
    <s v="ORD-00048"/>
    <x v="44"/>
    <s v="CUS-SYL-020"/>
    <s v="R03"/>
    <s v="ST-SYL-01"/>
    <x v="20"/>
    <s v="P005"/>
    <n v="4"/>
    <n v="0.12"/>
    <n v="20929"/>
    <n v="3"/>
    <x v="21"/>
    <s v="USB-C Hub"/>
    <s v="Electronics"/>
    <n v="4890"/>
    <x v="41"/>
    <n v="3330"/>
    <n v="13320"/>
    <n v="6240"/>
    <x v="33"/>
    <x v="20"/>
    <x v="3"/>
    <x v="25"/>
  </r>
  <r>
    <s v="ORD-00049"/>
    <x v="45"/>
    <s v="CUS-RAN-013"/>
    <s v="R07"/>
    <s v="ST-RAN-03"/>
    <x v="4"/>
    <s v="P005"/>
    <n v="4"/>
    <n v="0.18"/>
    <n v="22494"/>
    <n v="5"/>
    <x v="4"/>
    <s v="USB-C Hub"/>
    <s v="Electronics"/>
    <n v="4890"/>
    <x v="41"/>
    <n v="3330"/>
    <n v="13320"/>
    <n v="6240"/>
    <x v="41"/>
    <x v="4"/>
    <x v="0"/>
    <x v="26"/>
  </r>
  <r>
    <s v="ORD-00050"/>
    <x v="46"/>
    <s v="CUS-BAR-018"/>
    <s v="R06"/>
    <s v="ST-BAR-05"/>
    <x v="12"/>
    <s v="P006"/>
    <n v="3"/>
    <n v="0.12"/>
    <n v="24192"/>
    <n v="8"/>
    <x v="27"/>
    <s v="Electric Kettle"/>
    <s v="Home Appliance"/>
    <n v="7200"/>
    <x v="42"/>
    <n v="5040"/>
    <n v="15120"/>
    <n v="6480"/>
    <x v="21"/>
    <x v="12"/>
    <x v="5"/>
    <x v="7"/>
  </r>
  <r>
    <s v="ORD-00051"/>
    <x v="47"/>
    <s v="CUS-BAR-009"/>
    <s v="R06"/>
    <s v="ST-BAR-03"/>
    <x v="10"/>
    <s v="P030"/>
    <n v="1"/>
    <n v="0.12"/>
    <n v="2094"/>
    <n v="5"/>
    <x v="5"/>
    <s v="Casual Loafer"/>
    <s v="Footwear"/>
    <n v="1870"/>
    <x v="43"/>
    <n v="1120"/>
    <n v="1120"/>
    <n v="750"/>
    <x v="31"/>
    <x v="10"/>
    <x v="5"/>
    <x v="27"/>
  </r>
  <r>
    <s v="ORD-00052"/>
    <x v="48"/>
    <s v="CUS-RAN-022"/>
    <s v="R07"/>
    <s v="ST-RAN-03"/>
    <x v="0"/>
    <s v="P003"/>
    <n v="3"/>
    <n v="0.12"/>
    <n v="9798"/>
    <n v="2"/>
    <x v="24"/>
    <s v="Power Bank"/>
    <s v="Electronics"/>
    <n v="2840"/>
    <x v="3"/>
    <n v="1930"/>
    <n v="5790"/>
    <n v="2730"/>
    <x v="42"/>
    <x v="0"/>
    <x v="0"/>
    <x v="26"/>
  </r>
  <r>
    <s v="ORD-00053"/>
    <x v="49"/>
    <s v="CUS-KHL-014"/>
    <s v="R05"/>
    <s v="ST-KHL-04"/>
    <x v="24"/>
    <s v="P032"/>
    <n v="2"/>
    <n v="0.05"/>
    <n v="8110"/>
    <n v="2"/>
    <x v="15"/>
    <s v="Football"/>
    <s v="Sports"/>
    <n v="3720"/>
    <x v="44"/>
    <n v="2310"/>
    <n v="4620"/>
    <n v="2820"/>
    <x v="43"/>
    <x v="24"/>
    <x v="6"/>
    <x v="19"/>
  </r>
  <r>
    <s v="ORD-00054"/>
    <x v="50"/>
    <s v="CUS-MYM-022"/>
    <s v="R08"/>
    <s v="ST-MYM-03"/>
    <x v="31"/>
    <s v="P006"/>
    <n v="5"/>
    <n v="0.18"/>
    <n v="38880"/>
    <n v="4"/>
    <x v="19"/>
    <s v="Electric Kettle"/>
    <s v="Home Appliance"/>
    <n v="7200"/>
    <x v="45"/>
    <n v="5040"/>
    <n v="25200"/>
    <n v="10800"/>
    <x v="25"/>
    <x v="31"/>
    <x v="2"/>
    <x v="10"/>
  </r>
  <r>
    <s v="ORD-00055"/>
    <x v="51"/>
    <s v="CUS-SYL-010"/>
    <s v="R03"/>
    <s v="ST-SYL-01"/>
    <x v="32"/>
    <s v="P003"/>
    <n v="4"/>
    <n v="0.18"/>
    <n v="12155"/>
    <n v="3"/>
    <x v="20"/>
    <s v="Power Bank"/>
    <s v="Electronics"/>
    <n v="2840"/>
    <x v="46"/>
    <n v="1930"/>
    <n v="7720"/>
    <n v="3640"/>
    <x v="44"/>
    <x v="32"/>
    <x v="3"/>
    <x v="25"/>
  </r>
  <r>
    <s v="ORD-00056"/>
    <x v="52"/>
    <s v="CUS-BAR-021"/>
    <s v="R06"/>
    <s v="ST-BAR-01"/>
    <x v="8"/>
    <s v="P008"/>
    <n v="2"/>
    <n v="0.12"/>
    <n v="5443"/>
    <n v="6"/>
    <x v="28"/>
    <s v="Blender Machine"/>
    <s v="Home Appliance"/>
    <n v="2430"/>
    <x v="47"/>
    <n v="1700"/>
    <n v="3400"/>
    <n v="1460"/>
    <x v="45"/>
    <x v="8"/>
    <x v="5"/>
    <x v="9"/>
  </r>
  <r>
    <s v="ORD-00057"/>
    <x v="53"/>
    <s v="CUS-BAR-009"/>
    <s v="R06"/>
    <s v="ST-BAR-05"/>
    <x v="33"/>
    <s v="P012"/>
    <n v="2"/>
    <n v="0.12"/>
    <n v="4077"/>
    <n v="3"/>
    <x v="21"/>
    <s v="Formal Shirt"/>
    <s v="Fashion"/>
    <n v="1820"/>
    <x v="48"/>
    <n v="1000"/>
    <n v="2000"/>
    <n v="1640"/>
    <x v="31"/>
    <x v="33"/>
    <x v="5"/>
    <x v="7"/>
  </r>
  <r>
    <s v="ORD-00058"/>
    <x v="54"/>
    <s v="CUS-MYM-007"/>
    <s v="R08"/>
    <s v="ST-MYM-05"/>
    <x v="17"/>
    <s v="P041"/>
    <n v="3"/>
    <n v="0.1"/>
    <n v="2722"/>
    <n v="3"/>
    <x v="21"/>
    <s v="Building Blocks"/>
    <s v="Kids &amp; Toys"/>
    <n v="840"/>
    <x v="17"/>
    <n v="460"/>
    <n v="1380"/>
    <n v="1140"/>
    <x v="46"/>
    <x v="17"/>
    <x v="2"/>
    <x v="28"/>
  </r>
  <r>
    <s v="ORD-00059"/>
    <x v="55"/>
    <s v="CUS-DHA-005"/>
    <s v="R01"/>
    <s v="ST-DHA-02"/>
    <x v="28"/>
    <s v="P008"/>
    <n v="3"/>
    <n v="0.1"/>
    <n v="7727"/>
    <n v="4"/>
    <x v="6"/>
    <s v="Blender Machine"/>
    <s v="Home Appliance"/>
    <n v="2430"/>
    <x v="49"/>
    <n v="1700"/>
    <n v="5100"/>
    <n v="2190"/>
    <x v="43"/>
    <x v="28"/>
    <x v="4"/>
    <x v="8"/>
  </r>
  <r>
    <s v="ORD-00060"/>
    <x v="56"/>
    <s v="CUS-SYL-011"/>
    <s v="R03"/>
    <s v="ST-SYL-01"/>
    <x v="34"/>
    <s v="P012"/>
    <n v="4"/>
    <n v="0.05"/>
    <n v="7790"/>
    <n v="1"/>
    <x v="7"/>
    <s v="Formal Shirt"/>
    <s v="Fashion"/>
    <n v="1820"/>
    <x v="50"/>
    <n v="1000"/>
    <n v="4000"/>
    <n v="3280"/>
    <x v="47"/>
    <x v="34"/>
    <x v="3"/>
    <x v="25"/>
  </r>
  <r>
    <s v="ORD-00061"/>
    <x v="57"/>
    <s v="CUS-SYL-016"/>
    <s v="R03"/>
    <s v="ST-SYL-01"/>
    <x v="20"/>
    <s v="P023"/>
    <n v="3"/>
    <n v="0.1"/>
    <n v="3724"/>
    <n v="5"/>
    <x v="29"/>
    <s v="Body Lotion"/>
    <s v="Beauty &amp; Personal Care"/>
    <n v="1160"/>
    <x v="51"/>
    <n v="670"/>
    <n v="2010"/>
    <n v="1470"/>
    <x v="48"/>
    <x v="20"/>
    <x v="3"/>
    <x v="25"/>
  </r>
  <r>
    <s v="ORD-00062"/>
    <x v="58"/>
    <s v="CUS-BAR-001"/>
    <s v="R06"/>
    <s v="ST-BAR-03"/>
    <x v="12"/>
    <s v="P004"/>
    <n v="3"/>
    <n v="0.1"/>
    <n v="13003"/>
    <n v="5"/>
    <x v="29"/>
    <s v="Smart Watch"/>
    <s v="Electronics"/>
    <n v="3870"/>
    <x v="39"/>
    <n v="2630"/>
    <n v="7890"/>
    <n v="3720"/>
    <x v="49"/>
    <x v="12"/>
    <x v="5"/>
    <x v="27"/>
  </r>
  <r>
    <s v="ORD-00063"/>
    <x v="59"/>
    <s v="CUS-RAJ-023"/>
    <s v="R04"/>
    <s v="ST-RAJ-03"/>
    <x v="26"/>
    <s v="P003"/>
    <n v="3"/>
    <n v="0.12"/>
    <n v="9202"/>
    <n v="6"/>
    <x v="28"/>
    <s v="Power Bank"/>
    <s v="Electronics"/>
    <n v="2840"/>
    <x v="3"/>
    <n v="1930"/>
    <n v="5790"/>
    <n v="2730"/>
    <x v="50"/>
    <x v="26"/>
    <x v="1"/>
    <x v="18"/>
  </r>
  <r>
    <s v="ORD-00064"/>
    <x v="60"/>
    <s v="CUS-KHL-010"/>
    <s v="R05"/>
    <s v="ST-KHL-04"/>
    <x v="13"/>
    <s v="P016"/>
    <n v="4"/>
    <n v="0.02"/>
    <n v="4840"/>
    <n v="6"/>
    <x v="4"/>
    <s v="Premium Rice 5kg"/>
    <s v="Grocery"/>
    <n v="1110"/>
    <x v="52"/>
    <n v="870"/>
    <n v="3480"/>
    <n v="960"/>
    <x v="51"/>
    <x v="13"/>
    <x v="6"/>
    <x v="19"/>
  </r>
  <r>
    <s v="ORD-00065"/>
    <x v="61"/>
    <s v="CUS-BAR-016"/>
    <s v="R06"/>
    <s v="ST-BAR-03"/>
    <x v="8"/>
    <s v="P003"/>
    <n v="1"/>
    <n v="0.1"/>
    <n v="3181"/>
    <n v="5"/>
    <x v="29"/>
    <s v="Power Bank"/>
    <s v="Electronics"/>
    <n v="2840"/>
    <x v="53"/>
    <n v="1930"/>
    <n v="1930"/>
    <n v="910"/>
    <x v="38"/>
    <x v="8"/>
    <x v="5"/>
    <x v="27"/>
  </r>
  <r>
    <s v="ORD-00066"/>
    <x v="62"/>
    <s v="CUS-DHA-019"/>
    <s v="R01"/>
    <s v="ST-DHA-05"/>
    <x v="28"/>
    <s v="P003"/>
    <n v="2"/>
    <n v="0.12"/>
    <n v="6021"/>
    <n v="1"/>
    <x v="1"/>
    <s v="Power Bank"/>
    <s v="Electronics"/>
    <n v="2840"/>
    <x v="54"/>
    <n v="1930"/>
    <n v="3860"/>
    <n v="1820"/>
    <x v="52"/>
    <x v="28"/>
    <x v="4"/>
    <x v="15"/>
  </r>
  <r>
    <s v="ORD-00067"/>
    <x v="36"/>
    <s v="CUS-DHA-020"/>
    <s v="R01"/>
    <s v="ST-DHA-01"/>
    <x v="35"/>
    <s v="P002"/>
    <n v="1"/>
    <n v="0.08"/>
    <n v="3540"/>
    <n v="1"/>
    <x v="13"/>
    <s v="Wireless Mouse"/>
    <s v="Electronics"/>
    <n v="3340"/>
    <x v="55"/>
    <n v="2270"/>
    <n v="2270"/>
    <n v="1070"/>
    <x v="53"/>
    <x v="35"/>
    <x v="4"/>
    <x v="29"/>
  </r>
  <r>
    <s v="ORD-00068"/>
    <x v="63"/>
    <s v="CUS-KHL-016"/>
    <s v="R05"/>
    <s v="ST-KHL-02"/>
    <x v="36"/>
    <s v="P029"/>
    <n v="2"/>
    <n v="0.03"/>
    <n v="5842"/>
    <n v="4"/>
    <x v="17"/>
    <s v="Kids Sneaker"/>
    <s v="Footwear"/>
    <n v="2680"/>
    <x v="56"/>
    <n v="1610"/>
    <n v="3220"/>
    <n v="2140"/>
    <x v="54"/>
    <x v="36"/>
    <x v="6"/>
    <x v="14"/>
  </r>
  <r>
    <s v="ORD-00069"/>
    <x v="64"/>
    <s v="CUS-KHL-020"/>
    <s v="R05"/>
    <s v="ST-KHL-05"/>
    <x v="13"/>
    <s v="P003"/>
    <n v="5"/>
    <n v="0.08"/>
    <n v="15478"/>
    <n v="2"/>
    <x v="18"/>
    <s v="Power Bank"/>
    <s v="Electronics"/>
    <n v="2840"/>
    <x v="57"/>
    <n v="1930"/>
    <n v="9650"/>
    <n v="4550"/>
    <x v="55"/>
    <x v="13"/>
    <x v="6"/>
    <x v="30"/>
  </r>
  <r>
    <s v="ORD-00070"/>
    <x v="65"/>
    <s v="CUS-MYM-007"/>
    <s v="R08"/>
    <s v="ST-MYM-05"/>
    <x v="11"/>
    <s v="P035"/>
    <n v="2"/>
    <n v="0.1"/>
    <n v="2398"/>
    <n v="7"/>
    <x v="12"/>
    <s v="Dumbbell Set"/>
    <s v="Sports"/>
    <n v="1110"/>
    <x v="58"/>
    <n v="690"/>
    <n v="1380"/>
    <n v="840"/>
    <x v="46"/>
    <x v="11"/>
    <x v="2"/>
    <x v="28"/>
  </r>
  <r>
    <s v="ORD-00071"/>
    <x v="66"/>
    <s v="CUS-KHL-006"/>
    <s v="R05"/>
    <s v="ST-KHL-01"/>
    <x v="29"/>
    <s v="P014"/>
    <n v="4"/>
    <n v="0.1"/>
    <n v="3837"/>
    <n v="3"/>
    <x v="21"/>
    <s v="Denim Jeans"/>
    <s v="Fashion"/>
    <n v="880"/>
    <x v="32"/>
    <n v="480"/>
    <n v="1920"/>
    <n v="1600"/>
    <x v="56"/>
    <x v="29"/>
    <x v="6"/>
    <x v="24"/>
  </r>
  <r>
    <s v="ORD-00072"/>
    <x v="12"/>
    <s v="CUS-CTG-004"/>
    <s v="R02"/>
    <s v="ST-CTG-05"/>
    <x v="37"/>
    <s v="P014"/>
    <n v="4"/>
    <n v="0.03"/>
    <n v="4013"/>
    <n v="5"/>
    <x v="19"/>
    <s v="Denim Jeans"/>
    <s v="Fashion"/>
    <n v="880"/>
    <x v="32"/>
    <n v="480"/>
    <n v="1920"/>
    <n v="1600"/>
    <x v="57"/>
    <x v="37"/>
    <x v="7"/>
    <x v="31"/>
  </r>
  <r>
    <s v="ORD-00073"/>
    <x v="67"/>
    <s v="CUS-KHL-021"/>
    <s v="R05"/>
    <s v="ST-KHL-02"/>
    <x v="24"/>
    <s v="P050"/>
    <n v="2"/>
    <n v="0.03"/>
    <n v="12797"/>
    <n v="6"/>
    <x v="4"/>
    <s v="Bedside Table"/>
    <s v="Furniture"/>
    <n v="5870"/>
    <x v="59"/>
    <n v="4230"/>
    <n v="8460"/>
    <n v="3280"/>
    <x v="58"/>
    <x v="24"/>
    <x v="6"/>
    <x v="14"/>
  </r>
  <r>
    <s v="ORD-00074"/>
    <x v="26"/>
    <s v="CUS-DHA-010"/>
    <s v="R01"/>
    <s v="ST-DHA-03"/>
    <x v="35"/>
    <s v="P007"/>
    <n v="1"/>
    <n v="0.08"/>
    <n v="7876"/>
    <n v="5"/>
    <x v="29"/>
    <s v="Rice Cooker"/>
    <s v="Home Appliance"/>
    <n v="7430"/>
    <x v="8"/>
    <n v="5200"/>
    <n v="5200"/>
    <n v="2230"/>
    <x v="59"/>
    <x v="35"/>
    <x v="4"/>
    <x v="5"/>
  </r>
  <r>
    <s v="ORD-00075"/>
    <x v="68"/>
    <s v="CUS-SYL-022"/>
    <s v="R03"/>
    <s v="ST-SYL-02"/>
    <x v="38"/>
    <s v="P008"/>
    <n v="9"/>
    <n v="0.08"/>
    <n v="23401"/>
    <n v="4"/>
    <x v="6"/>
    <s v="Blender Machine"/>
    <s v="Home Appliance"/>
    <n v="2430"/>
    <x v="60"/>
    <n v="1700"/>
    <n v="15300"/>
    <n v="6570"/>
    <x v="21"/>
    <x v="38"/>
    <x v="3"/>
    <x v="32"/>
  </r>
  <r>
    <s v="ORD-00076"/>
    <x v="69"/>
    <s v="CUS-CTG-013"/>
    <s v="R02"/>
    <s v="ST-CTG-04"/>
    <x v="39"/>
    <s v="P005"/>
    <n v="4"/>
    <n v="0.15"/>
    <n v="22298"/>
    <n v="6"/>
    <x v="28"/>
    <s v="USB-C Hub"/>
    <s v="Electronics"/>
    <n v="4890"/>
    <x v="41"/>
    <n v="3330"/>
    <n v="13320"/>
    <n v="6240"/>
    <x v="2"/>
    <x v="39"/>
    <x v="7"/>
    <x v="33"/>
  </r>
  <r>
    <s v="ORD-00077"/>
    <x v="70"/>
    <s v="CUS-RAN-021"/>
    <s v="R07"/>
    <s v="ST-RAN-02"/>
    <x v="7"/>
    <s v="P003"/>
    <n v="10"/>
    <n v="0.08"/>
    <n v="32660"/>
    <n v="4"/>
    <x v="6"/>
    <s v="Power Bank"/>
    <s v="Electronics"/>
    <n v="2840"/>
    <x v="61"/>
    <n v="1930"/>
    <n v="19300"/>
    <n v="9100"/>
    <x v="15"/>
    <x v="7"/>
    <x v="0"/>
    <x v="6"/>
  </r>
  <r>
    <s v="ORD-00078"/>
    <x v="71"/>
    <s v="CUS-MYM-006"/>
    <s v="R08"/>
    <s v="ST-MYM-05"/>
    <x v="19"/>
    <s v="P035"/>
    <n v="5"/>
    <n v="0.05"/>
    <n v="5994"/>
    <n v="5"/>
    <x v="19"/>
    <s v="Dumbbell Set"/>
    <s v="Sports"/>
    <n v="1110"/>
    <x v="62"/>
    <n v="690"/>
    <n v="3450"/>
    <n v="2100"/>
    <x v="60"/>
    <x v="19"/>
    <x v="2"/>
    <x v="28"/>
  </r>
  <r>
    <s v="ORD-00079"/>
    <x v="72"/>
    <s v="CUS-MYM-016"/>
    <s v="R08"/>
    <s v="ST-MYM-01"/>
    <x v="19"/>
    <s v="P011"/>
    <n v="3"/>
    <n v="0.03"/>
    <n v="6059"/>
    <n v="3"/>
    <x v="10"/>
    <s v="Cotton T-Shirt"/>
    <s v="Fashion"/>
    <n v="1870"/>
    <x v="63"/>
    <n v="1030"/>
    <n v="3090"/>
    <n v="2520"/>
    <x v="61"/>
    <x v="19"/>
    <x v="2"/>
    <x v="3"/>
  </r>
  <r>
    <s v="ORD-00080"/>
    <x v="73"/>
    <s v="CUS-RAJ-022"/>
    <s v="R04"/>
    <s v="ST-RAJ-03"/>
    <x v="40"/>
    <s v="P016"/>
    <n v="4"/>
    <n v="0.02"/>
    <n v="4795"/>
    <n v="1"/>
    <x v="7"/>
    <s v="Premium Rice 5kg"/>
    <s v="Grocery"/>
    <n v="1110"/>
    <x v="52"/>
    <n v="870"/>
    <n v="3480"/>
    <n v="960"/>
    <x v="62"/>
    <x v="40"/>
    <x v="1"/>
    <x v="18"/>
  </r>
  <r>
    <s v="ORD-00081"/>
    <x v="74"/>
    <s v="CUS-MYM-012"/>
    <s v="R08"/>
    <s v="ST-MYM-04"/>
    <x v="11"/>
    <s v="P039"/>
    <n v="1"/>
    <n v="0.02"/>
    <n v="1123"/>
    <n v="2"/>
    <x v="15"/>
    <s v="Marker Set"/>
    <s v="Stationery"/>
    <n v="1040"/>
    <x v="37"/>
    <n v="520"/>
    <n v="520"/>
    <n v="520"/>
    <x v="63"/>
    <x v="11"/>
    <x v="2"/>
    <x v="34"/>
  </r>
  <r>
    <s v="ORD-00082"/>
    <x v="75"/>
    <s v="CUS-MYM-006"/>
    <s v="R08"/>
    <s v="ST-MYM-01"/>
    <x v="19"/>
    <s v="P007"/>
    <n v="8"/>
    <n v="0.18"/>
    <n v="64195"/>
    <n v="6"/>
    <x v="11"/>
    <s v="Rice Cooker"/>
    <s v="Home Appliance"/>
    <n v="7430"/>
    <x v="64"/>
    <n v="5200"/>
    <n v="41600"/>
    <n v="17840"/>
    <x v="60"/>
    <x v="19"/>
    <x v="2"/>
    <x v="3"/>
  </r>
  <r>
    <s v="ORD-00083"/>
    <x v="76"/>
    <s v="CUS-RAJ-018"/>
    <s v="R04"/>
    <s v="ST-RAJ-04"/>
    <x v="2"/>
    <s v="P037"/>
    <n v="4"/>
    <n v="0.05"/>
    <n v="1469"/>
    <n v="6"/>
    <x v="4"/>
    <s v="Ball Pen Box"/>
    <s v="Stationery"/>
    <n v="340"/>
    <x v="65"/>
    <n v="170"/>
    <n v="680"/>
    <n v="680"/>
    <x v="64"/>
    <x v="2"/>
    <x v="1"/>
    <x v="1"/>
  </r>
  <r>
    <s v="ORD-00084"/>
    <x v="77"/>
    <s v="CUS-BAR-004"/>
    <s v="R06"/>
    <s v="ST-BAR-04"/>
    <x v="10"/>
    <s v="P026"/>
    <n v="2"/>
    <n v="0.12"/>
    <n v="7862"/>
    <n v="6"/>
    <x v="28"/>
    <s v="Running Shoe"/>
    <s v="Footwear"/>
    <n v="3510"/>
    <x v="66"/>
    <n v="2110"/>
    <n v="4220"/>
    <n v="2800"/>
    <x v="61"/>
    <x v="10"/>
    <x v="5"/>
    <x v="12"/>
  </r>
  <r>
    <s v="ORD-00085"/>
    <x v="78"/>
    <s v="CUS-DHA-003"/>
    <s v="R01"/>
    <s v="ST-DHA-05"/>
    <x v="9"/>
    <s v="P024"/>
    <n v="3"/>
    <n v="0.1"/>
    <n v="4484"/>
    <n v="4"/>
    <x v="6"/>
    <s v="Toothpaste Twin Pack"/>
    <s v="Beauty &amp; Personal Care"/>
    <n v="1410"/>
    <x v="9"/>
    <n v="820"/>
    <n v="2460"/>
    <n v="1770"/>
    <x v="65"/>
    <x v="9"/>
    <x v="4"/>
    <x v="15"/>
  </r>
  <r>
    <s v="ORD-00086"/>
    <x v="79"/>
    <s v="CUS-DHA-008"/>
    <s v="R01"/>
    <s v="ST-DHA-04"/>
    <x v="14"/>
    <s v="P019"/>
    <n v="5"/>
    <n v="0.05"/>
    <n v="2332"/>
    <n v="1"/>
    <x v="7"/>
    <s v="Flour 2kg"/>
    <s v="Grocery"/>
    <n v="440"/>
    <x v="23"/>
    <n v="340"/>
    <n v="1700"/>
    <n v="500"/>
    <x v="66"/>
    <x v="14"/>
    <x v="4"/>
    <x v="35"/>
  </r>
  <r>
    <s v="ORD-00087"/>
    <x v="80"/>
    <s v="CUS-CTG-004"/>
    <s v="R02"/>
    <s v="ST-CTG-02"/>
    <x v="41"/>
    <s v="P008"/>
    <n v="3"/>
    <n v="0.12"/>
    <n v="8311"/>
    <n v="7"/>
    <x v="12"/>
    <s v="Blender Machine"/>
    <s v="Home Appliance"/>
    <n v="2430"/>
    <x v="49"/>
    <n v="1700"/>
    <n v="5100"/>
    <n v="2190"/>
    <x v="57"/>
    <x v="41"/>
    <x v="7"/>
    <x v="22"/>
  </r>
  <r>
    <s v="ORD-00088"/>
    <x v="43"/>
    <s v="CUS-SYL-016"/>
    <s v="R03"/>
    <s v="ST-SYL-02"/>
    <x v="25"/>
    <s v="P032"/>
    <n v="1"/>
    <n v="0.12"/>
    <n v="3980"/>
    <n v="2"/>
    <x v="24"/>
    <s v="Football"/>
    <s v="Sports"/>
    <n v="3720"/>
    <x v="67"/>
    <n v="2310"/>
    <n v="2310"/>
    <n v="1410"/>
    <x v="48"/>
    <x v="25"/>
    <x v="3"/>
    <x v="32"/>
  </r>
  <r>
    <s v="ORD-00089"/>
    <x v="81"/>
    <s v="CUS-RAJ-007"/>
    <s v="R04"/>
    <s v="ST-RAJ-01"/>
    <x v="2"/>
    <s v="P004"/>
    <n v="4"/>
    <n v="0.08"/>
    <n v="16718"/>
    <n v="4"/>
    <x v="6"/>
    <s v="Smart Watch"/>
    <s v="Electronics"/>
    <n v="3870"/>
    <x v="68"/>
    <n v="2630"/>
    <n v="10520"/>
    <n v="4960"/>
    <x v="63"/>
    <x v="2"/>
    <x v="1"/>
    <x v="36"/>
  </r>
  <r>
    <s v="ORD-00090"/>
    <x v="82"/>
    <s v="CUS-CTG-025"/>
    <s v="R02"/>
    <s v="ST-CTG-04"/>
    <x v="39"/>
    <s v="P026"/>
    <n v="1"/>
    <n v="0.1"/>
    <n v="4001"/>
    <n v="4"/>
    <x v="6"/>
    <s v="Running Shoe"/>
    <s v="Footwear"/>
    <n v="3510"/>
    <x v="69"/>
    <n v="2110"/>
    <n v="2110"/>
    <n v="1400"/>
    <x v="67"/>
    <x v="39"/>
    <x v="7"/>
    <x v="33"/>
  </r>
  <r>
    <s v="ORD-00091"/>
    <x v="83"/>
    <s v="CUS-DHA-017"/>
    <s v="R01"/>
    <s v="ST-DHA-01"/>
    <x v="9"/>
    <s v="P046"/>
    <n v="6"/>
    <n v="0.05"/>
    <n v="27857"/>
    <n v="4"/>
    <x v="20"/>
    <s v="Office Chair"/>
    <s v="Furniture"/>
    <n v="4380"/>
    <x v="70"/>
    <n v="3150"/>
    <n v="18900"/>
    <n v="7380"/>
    <x v="68"/>
    <x v="9"/>
    <x v="4"/>
    <x v="29"/>
  </r>
  <r>
    <s v="ORD-00092"/>
    <x v="84"/>
    <s v="CUS-SYL-004"/>
    <s v="R03"/>
    <s v="ST-SYL-04"/>
    <x v="25"/>
    <s v="P022"/>
    <n v="3"/>
    <n v="0.1"/>
    <n v="5329"/>
    <n v="2"/>
    <x v="24"/>
    <s v="Shampoo 375ml"/>
    <s v="Beauty &amp; Personal Care"/>
    <n v="1660"/>
    <x v="71"/>
    <n v="960"/>
    <n v="2880"/>
    <n v="2100"/>
    <x v="29"/>
    <x v="25"/>
    <x v="3"/>
    <x v="21"/>
  </r>
  <r>
    <s v="ORD-00093"/>
    <x v="85"/>
    <s v="CUS-RAN-020"/>
    <s v="R07"/>
    <s v="ST-RAN-02"/>
    <x v="42"/>
    <s v="P010"/>
    <n v="9"/>
    <n v="0.1"/>
    <n v="32188"/>
    <n v="10"/>
    <x v="26"/>
    <s v="Table Fan"/>
    <s v="Home Appliance"/>
    <n v="3110"/>
    <x v="72"/>
    <n v="2180"/>
    <n v="19620"/>
    <n v="8370"/>
    <x v="35"/>
    <x v="42"/>
    <x v="0"/>
    <x v="6"/>
  </r>
  <r>
    <s v="ORD-00094"/>
    <x v="86"/>
    <s v="CUS-KHL-023"/>
    <s v="R05"/>
    <s v="ST-KHL-05"/>
    <x v="16"/>
    <s v="P030"/>
    <n v="1"/>
    <n v="0.12"/>
    <n v="2038"/>
    <n v="5"/>
    <x v="5"/>
    <s v="Casual Loafer"/>
    <s v="Footwear"/>
    <n v="1870"/>
    <x v="43"/>
    <n v="1120"/>
    <n v="1120"/>
    <n v="750"/>
    <x v="69"/>
    <x v="16"/>
    <x v="6"/>
    <x v="30"/>
  </r>
  <r>
    <s v="ORD-00095"/>
    <x v="87"/>
    <s v="CUS-KHL-022"/>
    <s v="R05"/>
    <s v="ST-KHL-03"/>
    <x v="13"/>
    <s v="P003"/>
    <n v="3"/>
    <n v="0.12"/>
    <n v="9287"/>
    <n v="2"/>
    <x v="24"/>
    <s v="Power Bank"/>
    <s v="Electronics"/>
    <n v="2840"/>
    <x v="3"/>
    <n v="1930"/>
    <n v="5790"/>
    <n v="2730"/>
    <x v="24"/>
    <x v="13"/>
    <x v="6"/>
    <x v="17"/>
  </r>
  <r>
    <s v="ORD-00096"/>
    <x v="88"/>
    <s v="CUS-MYM-019"/>
    <s v="R08"/>
    <s v="ST-MYM-05"/>
    <x v="43"/>
    <s v="P030"/>
    <n v="5"/>
    <n v="0.1"/>
    <n v="10098"/>
    <n v="1"/>
    <x v="13"/>
    <s v="Casual Loafer"/>
    <s v="Footwear"/>
    <n v="1870"/>
    <x v="73"/>
    <n v="1120"/>
    <n v="5600"/>
    <n v="3750"/>
    <x v="28"/>
    <x v="43"/>
    <x v="2"/>
    <x v="28"/>
  </r>
  <r>
    <s v="ORD-00097"/>
    <x v="89"/>
    <s v="CUS-DHA-017"/>
    <s v="R01"/>
    <s v="ST-DHA-01"/>
    <x v="44"/>
    <s v="P009"/>
    <n v="3"/>
    <n v="0.1"/>
    <n v="14501"/>
    <n v="4"/>
    <x v="6"/>
    <s v="Steam Iron"/>
    <s v="Home Appliance"/>
    <n v="4560"/>
    <x v="6"/>
    <n v="3190"/>
    <n v="9570"/>
    <n v="4110"/>
    <x v="68"/>
    <x v="44"/>
    <x v="4"/>
    <x v="29"/>
  </r>
  <r>
    <s v="ORD-00098"/>
    <x v="5"/>
    <s v="CUS-KHL-022"/>
    <s v="R05"/>
    <s v="ST-KHL-03"/>
    <x v="36"/>
    <s v="P039"/>
    <n v="1"/>
    <n v="0"/>
    <n v="1134"/>
    <n v="6"/>
    <x v="5"/>
    <s v="Marker Set"/>
    <s v="Stationery"/>
    <n v="1040"/>
    <x v="37"/>
    <n v="520"/>
    <n v="520"/>
    <n v="520"/>
    <x v="24"/>
    <x v="36"/>
    <x v="6"/>
    <x v="17"/>
  </r>
  <r>
    <s v="ORD-00099"/>
    <x v="90"/>
    <s v="CUS-BAR-015"/>
    <s v="R06"/>
    <s v="ST-BAR-01"/>
    <x v="12"/>
    <s v="P041"/>
    <n v="4"/>
    <n v="0.12"/>
    <n v="3763"/>
    <n v="3"/>
    <x v="21"/>
    <s v="Building Blocks"/>
    <s v="Kids &amp; Toys"/>
    <n v="840"/>
    <x v="31"/>
    <n v="460"/>
    <n v="1840"/>
    <n v="1520"/>
    <x v="69"/>
    <x v="12"/>
    <x v="5"/>
    <x v="9"/>
  </r>
  <r>
    <s v="ORD-00100"/>
    <x v="91"/>
    <s v="CUS-KHL-023"/>
    <s v="R05"/>
    <s v="ST-KHL-01"/>
    <x v="24"/>
    <s v="P009"/>
    <n v="8"/>
    <n v="0.08"/>
    <n v="39763"/>
    <n v="6"/>
    <x v="16"/>
    <s v="Steam Iron"/>
    <s v="Home Appliance"/>
    <n v="4560"/>
    <x v="74"/>
    <n v="3190"/>
    <n v="25520"/>
    <n v="10960"/>
    <x v="69"/>
    <x v="24"/>
    <x v="6"/>
    <x v="24"/>
  </r>
  <r>
    <s v="ORD-00101"/>
    <x v="37"/>
    <s v="CUS-DHA-024"/>
    <s v="R01"/>
    <s v="ST-DHA-03"/>
    <x v="28"/>
    <s v="P023"/>
    <n v="7"/>
    <n v="7.0000000000000007E-2"/>
    <n v="8607"/>
    <n v="2"/>
    <x v="18"/>
    <s v="Body Lotion"/>
    <s v="Beauty &amp; Personal Care"/>
    <n v="1160"/>
    <x v="75"/>
    <n v="670"/>
    <n v="4690"/>
    <n v="3430"/>
    <x v="48"/>
    <x v="28"/>
    <x v="4"/>
    <x v="5"/>
  </r>
  <r>
    <s v="ORD-00102"/>
    <x v="92"/>
    <s v="CUS-RAJ-025"/>
    <s v="R04"/>
    <s v="ST-RAJ-02"/>
    <x v="26"/>
    <s v="P012"/>
    <n v="1"/>
    <n v="0.12"/>
    <n v="1966"/>
    <n v="2"/>
    <x v="24"/>
    <s v="Formal Shirt"/>
    <s v="Fashion"/>
    <n v="1820"/>
    <x v="76"/>
    <n v="1000"/>
    <n v="1000"/>
    <n v="820"/>
    <x v="62"/>
    <x v="26"/>
    <x v="1"/>
    <x v="2"/>
  </r>
  <r>
    <s v="ORD-00103"/>
    <x v="93"/>
    <s v="CUS-CTG-013"/>
    <s v="R02"/>
    <s v="ST-CTG-01"/>
    <x v="39"/>
    <s v="P006"/>
    <n v="1"/>
    <n v="0.18"/>
    <n v="8208"/>
    <n v="7"/>
    <x v="23"/>
    <s v="Electric Kettle"/>
    <s v="Home Appliance"/>
    <n v="7200"/>
    <x v="0"/>
    <n v="5040"/>
    <n v="5040"/>
    <n v="2160"/>
    <x v="2"/>
    <x v="39"/>
    <x v="7"/>
    <x v="37"/>
  </r>
  <r>
    <s v="ORD-00104"/>
    <x v="94"/>
    <s v="CUS-MYM-023"/>
    <s v="R08"/>
    <s v="ST-MYM-02"/>
    <x v="17"/>
    <s v="P003"/>
    <n v="3"/>
    <n v="0.18"/>
    <n v="9202"/>
    <n v="4"/>
    <x v="19"/>
    <s v="Power Bank"/>
    <s v="Electronics"/>
    <n v="2840"/>
    <x v="3"/>
    <n v="1930"/>
    <n v="5790"/>
    <n v="2730"/>
    <x v="70"/>
    <x v="17"/>
    <x v="2"/>
    <x v="20"/>
  </r>
  <r>
    <s v="ORD-00105"/>
    <x v="95"/>
    <s v="CUS-KHL-016"/>
    <s v="R05"/>
    <s v="ST-KHL-05"/>
    <x v="29"/>
    <s v="P008"/>
    <n v="3"/>
    <n v="0.1"/>
    <n v="7946"/>
    <n v="2"/>
    <x v="24"/>
    <s v="Blender Machine"/>
    <s v="Home Appliance"/>
    <n v="2430"/>
    <x v="49"/>
    <n v="1700"/>
    <n v="5100"/>
    <n v="2190"/>
    <x v="54"/>
    <x v="29"/>
    <x v="6"/>
    <x v="30"/>
  </r>
  <r>
    <s v="ORD-00106"/>
    <x v="96"/>
    <s v="CUS-SYL-014"/>
    <s v="R03"/>
    <s v="ST-SYL-05"/>
    <x v="5"/>
    <s v="P010"/>
    <n v="1"/>
    <n v="0.12"/>
    <n v="3328"/>
    <n v="5"/>
    <x v="5"/>
    <s v="Table Fan"/>
    <s v="Home Appliance"/>
    <n v="3110"/>
    <x v="77"/>
    <n v="2180"/>
    <n v="2180"/>
    <n v="930"/>
    <x v="71"/>
    <x v="5"/>
    <x v="3"/>
    <x v="4"/>
  </r>
  <r>
    <s v="ORD-00107"/>
    <x v="97"/>
    <s v="CUS-BAR-012"/>
    <s v="R06"/>
    <s v="ST-BAR-03"/>
    <x v="8"/>
    <s v="P047"/>
    <n v="10"/>
    <n v="0.03"/>
    <n v="130816"/>
    <n v="8"/>
    <x v="23"/>
    <s v="Study Table"/>
    <s v="Furniture"/>
    <n v="11680"/>
    <x v="78"/>
    <n v="8410"/>
    <n v="84100"/>
    <n v="32700"/>
    <x v="72"/>
    <x v="8"/>
    <x v="5"/>
    <x v="27"/>
  </r>
  <r>
    <s v="ORD-00108"/>
    <x v="98"/>
    <s v="CUS-RAJ-021"/>
    <s v="R04"/>
    <s v="ST-RAJ-05"/>
    <x v="40"/>
    <s v="P005"/>
    <n v="4"/>
    <n v="0.12"/>
    <n v="21125"/>
    <n v="5"/>
    <x v="5"/>
    <s v="USB-C Hub"/>
    <s v="Electronics"/>
    <n v="4890"/>
    <x v="41"/>
    <n v="3330"/>
    <n v="13320"/>
    <n v="6240"/>
    <x v="73"/>
    <x v="40"/>
    <x v="1"/>
    <x v="38"/>
  </r>
  <r>
    <s v="ORD-00109"/>
    <x v="99"/>
    <s v="CUS-RAN-004"/>
    <s v="R07"/>
    <s v="ST-RAN-04"/>
    <x v="42"/>
    <s v="P017"/>
    <n v="1"/>
    <n v="0.03"/>
    <n v="425"/>
    <n v="4"/>
    <x v="17"/>
    <s v="Soybean Oil 5L"/>
    <s v="Grocery"/>
    <n v="370"/>
    <x v="79"/>
    <n v="290"/>
    <n v="290"/>
    <n v="80"/>
    <x v="74"/>
    <x v="42"/>
    <x v="0"/>
    <x v="13"/>
  </r>
  <r>
    <s v="ORD-00110"/>
    <x v="100"/>
    <s v="CUS-MYM-002"/>
    <s v="R08"/>
    <s v="ST-MYM-03"/>
    <x v="43"/>
    <s v="P004"/>
    <n v="1"/>
    <n v="0.08"/>
    <n v="4180"/>
    <n v="4"/>
    <x v="6"/>
    <s v="Smart Watch"/>
    <s v="Electronics"/>
    <n v="3870"/>
    <x v="80"/>
    <n v="2630"/>
    <n v="2630"/>
    <n v="1240"/>
    <x v="5"/>
    <x v="43"/>
    <x v="2"/>
    <x v="10"/>
  </r>
  <r>
    <s v="ORD-00111"/>
    <x v="101"/>
    <s v="CUS-SYL-025"/>
    <s v="R03"/>
    <s v="ST-SYL-05"/>
    <x v="5"/>
    <s v="P001"/>
    <n v="3"/>
    <n v="0.1"/>
    <n v="10400"/>
    <n v="4"/>
    <x v="6"/>
    <s v="Bluetooth Speaker"/>
    <s v="Electronics"/>
    <n v="3240"/>
    <x v="81"/>
    <n v="2200"/>
    <n v="6600"/>
    <n v="3120"/>
    <x v="31"/>
    <x v="5"/>
    <x v="3"/>
    <x v="4"/>
  </r>
  <r>
    <s v="ORD-00112"/>
    <x v="102"/>
    <s v="CUS-CTG-007"/>
    <s v="R02"/>
    <s v="ST-CTG-05"/>
    <x v="37"/>
    <s v="P042"/>
    <n v="3"/>
    <n v="0.05"/>
    <n v="6224"/>
    <n v="4"/>
    <x v="20"/>
    <s v="Toy Car Set"/>
    <s v="Kids &amp; Toys"/>
    <n v="1820"/>
    <x v="20"/>
    <n v="1000"/>
    <n v="3000"/>
    <n v="2460"/>
    <x v="62"/>
    <x v="37"/>
    <x v="7"/>
    <x v="31"/>
  </r>
  <r>
    <s v="ORD-00113"/>
    <x v="74"/>
    <s v="CUS-DHA-015"/>
    <s v="R01"/>
    <s v="ST-DHA-03"/>
    <x v="44"/>
    <s v="P002"/>
    <n v="1"/>
    <n v="0.12"/>
    <n v="3540"/>
    <n v="1"/>
    <x v="1"/>
    <s v="Wireless Mouse"/>
    <s v="Electronics"/>
    <n v="3340"/>
    <x v="55"/>
    <n v="2270"/>
    <n v="2270"/>
    <n v="1070"/>
    <x v="75"/>
    <x v="44"/>
    <x v="4"/>
    <x v="5"/>
  </r>
  <r>
    <s v="ORD-00114"/>
    <x v="103"/>
    <s v="CUS-RAJ-009"/>
    <s v="R04"/>
    <s v="ST-RAJ-04"/>
    <x v="2"/>
    <s v="P012"/>
    <n v="2"/>
    <n v="0.03"/>
    <n v="3931"/>
    <n v="3"/>
    <x v="10"/>
    <s v="Formal Shirt"/>
    <s v="Fashion"/>
    <n v="1820"/>
    <x v="48"/>
    <n v="1000"/>
    <n v="2000"/>
    <n v="1640"/>
    <x v="76"/>
    <x v="2"/>
    <x v="1"/>
    <x v="1"/>
  </r>
  <r>
    <s v="ORD-00115"/>
    <x v="72"/>
    <s v="CUS-RAN-022"/>
    <s v="R07"/>
    <s v="ST-RAN-01"/>
    <x v="21"/>
    <s v="P001"/>
    <n v="6"/>
    <n v="0.08"/>
    <n v="22356"/>
    <n v="6"/>
    <x v="16"/>
    <s v="Bluetooth Speaker"/>
    <s v="Electronics"/>
    <n v="3240"/>
    <x v="82"/>
    <n v="2200"/>
    <n v="13200"/>
    <n v="6240"/>
    <x v="42"/>
    <x v="21"/>
    <x v="0"/>
    <x v="0"/>
  </r>
  <r>
    <s v="ORD-00116"/>
    <x v="68"/>
    <s v="CUS-CTG-010"/>
    <s v="R02"/>
    <s v="ST-CTG-03"/>
    <x v="18"/>
    <s v="P002"/>
    <n v="4"/>
    <n v="0.08"/>
    <n v="15230"/>
    <n v="4"/>
    <x v="6"/>
    <s v="Wireless Mouse"/>
    <s v="Electronics"/>
    <n v="3340"/>
    <x v="83"/>
    <n v="2270"/>
    <n v="9080"/>
    <n v="4280"/>
    <x v="77"/>
    <x v="18"/>
    <x v="7"/>
    <x v="16"/>
  </r>
  <r>
    <s v="ORD-00117"/>
    <x v="16"/>
    <s v="CUS-MYM-006"/>
    <s v="R08"/>
    <s v="ST-MYM-05"/>
    <x v="11"/>
    <s v="P003"/>
    <n v="4"/>
    <n v="0.18"/>
    <n v="12269"/>
    <n v="3"/>
    <x v="20"/>
    <s v="Power Bank"/>
    <s v="Electronics"/>
    <n v="2840"/>
    <x v="46"/>
    <n v="1930"/>
    <n v="7720"/>
    <n v="3640"/>
    <x v="60"/>
    <x v="11"/>
    <x v="2"/>
    <x v="28"/>
  </r>
  <r>
    <s v="ORD-00118"/>
    <x v="104"/>
    <s v="CUS-KHL-022"/>
    <s v="R05"/>
    <s v="ST-KHL-03"/>
    <x v="45"/>
    <s v="P018"/>
    <n v="1"/>
    <n v="0"/>
    <n v="1864"/>
    <n v="5"/>
    <x v="3"/>
    <s v="Lentil 1kg"/>
    <s v="Grocery"/>
    <n v="1710"/>
    <x v="84"/>
    <n v="1330"/>
    <n v="1330"/>
    <n v="380"/>
    <x v="24"/>
    <x v="45"/>
    <x v="6"/>
    <x v="17"/>
  </r>
  <r>
    <s v="ORD-00119"/>
    <x v="105"/>
    <s v="CUS-RAN-018"/>
    <s v="R07"/>
    <s v="ST-RAN-05"/>
    <x v="7"/>
    <s v="P006"/>
    <n v="3"/>
    <n v="0.18"/>
    <n v="24840"/>
    <n v="9"/>
    <x v="14"/>
    <s v="Electric Kettle"/>
    <s v="Home Appliance"/>
    <n v="7200"/>
    <x v="42"/>
    <n v="5040"/>
    <n v="15120"/>
    <n v="6480"/>
    <x v="78"/>
    <x v="7"/>
    <x v="0"/>
    <x v="39"/>
  </r>
  <r>
    <s v="ORD-00120"/>
    <x v="74"/>
    <s v="CUS-KHL-007"/>
    <s v="R05"/>
    <s v="ST-KHL-01"/>
    <x v="36"/>
    <s v="P027"/>
    <n v="5"/>
    <n v="0.12"/>
    <n v="6595"/>
    <n v="4"/>
    <x v="6"/>
    <s v="Formal Shoe"/>
    <s v="Footwear"/>
    <n v="1210"/>
    <x v="85"/>
    <n v="730"/>
    <n v="3650"/>
    <n v="2400"/>
    <x v="79"/>
    <x v="36"/>
    <x v="6"/>
    <x v="24"/>
  </r>
  <r>
    <s v="ORD-00121"/>
    <x v="32"/>
    <s v="CUS-MYM-021"/>
    <s v="R08"/>
    <s v="ST-MYM-05"/>
    <x v="17"/>
    <s v="P006"/>
    <n v="2"/>
    <n v="0.18"/>
    <n v="15552"/>
    <n v="4"/>
    <x v="19"/>
    <s v="Electric Kettle"/>
    <s v="Home Appliance"/>
    <n v="7200"/>
    <x v="86"/>
    <n v="5040"/>
    <n v="10080"/>
    <n v="4320"/>
    <x v="80"/>
    <x v="17"/>
    <x v="2"/>
    <x v="28"/>
  </r>
  <r>
    <s v="ORD-00122"/>
    <x v="106"/>
    <s v="CUS-SYL-022"/>
    <s v="R03"/>
    <s v="ST-SYL-02"/>
    <x v="34"/>
    <s v="P006"/>
    <n v="7"/>
    <n v="0.15"/>
    <n v="53928"/>
    <n v="5"/>
    <x v="5"/>
    <s v="Electric Kettle"/>
    <s v="Home Appliance"/>
    <n v="7200"/>
    <x v="87"/>
    <n v="5040"/>
    <n v="35280"/>
    <n v="15120"/>
    <x v="21"/>
    <x v="34"/>
    <x v="3"/>
    <x v="32"/>
  </r>
  <r>
    <s v="ORD-00123"/>
    <x v="107"/>
    <s v="CUS-MYM-011"/>
    <s v="R08"/>
    <s v="ST-MYM-05"/>
    <x v="43"/>
    <s v="P007"/>
    <n v="3"/>
    <n v="0.12"/>
    <n v="24073"/>
    <n v="8"/>
    <x v="27"/>
    <s v="Rice Cooker"/>
    <s v="Home Appliance"/>
    <n v="7430"/>
    <x v="88"/>
    <n v="5200"/>
    <n v="15600"/>
    <n v="6690"/>
    <x v="81"/>
    <x v="43"/>
    <x v="2"/>
    <x v="28"/>
  </r>
  <r>
    <s v="ORD-00124"/>
    <x v="108"/>
    <s v="CUS-SYL-001"/>
    <s v="R03"/>
    <s v="ST-SYL-03"/>
    <x v="20"/>
    <s v="P035"/>
    <n v="3"/>
    <n v="0.05"/>
    <n v="3563"/>
    <n v="1"/>
    <x v="7"/>
    <s v="Dumbbell Set"/>
    <s v="Sports"/>
    <n v="1110"/>
    <x v="89"/>
    <n v="690"/>
    <n v="2070"/>
    <n v="1260"/>
    <x v="82"/>
    <x v="20"/>
    <x v="3"/>
    <x v="23"/>
  </r>
  <r>
    <s v="ORD-00125"/>
    <x v="44"/>
    <s v="CUS-BAR-016"/>
    <s v="R06"/>
    <s v="ST-BAR-04"/>
    <x v="22"/>
    <s v="P008"/>
    <n v="2"/>
    <n v="0.08"/>
    <n v="5443"/>
    <n v="8"/>
    <x v="30"/>
    <s v="Blender Machine"/>
    <s v="Home Appliance"/>
    <n v="2430"/>
    <x v="47"/>
    <n v="1700"/>
    <n v="3400"/>
    <n v="1460"/>
    <x v="38"/>
    <x v="22"/>
    <x v="5"/>
    <x v="12"/>
  </r>
  <r>
    <s v="ORD-00126"/>
    <x v="109"/>
    <s v="CUS-KHL-005"/>
    <s v="R05"/>
    <s v="ST-KHL-05"/>
    <x v="36"/>
    <s v="P005"/>
    <n v="4"/>
    <n v="0.18"/>
    <n v="21320"/>
    <n v="5"/>
    <x v="4"/>
    <s v="USB-C Hub"/>
    <s v="Electronics"/>
    <n v="4890"/>
    <x v="41"/>
    <n v="3330"/>
    <n v="13320"/>
    <n v="6240"/>
    <x v="16"/>
    <x v="36"/>
    <x v="6"/>
    <x v="30"/>
  </r>
  <r>
    <s v="ORD-00127"/>
    <x v="110"/>
    <s v="CUS-DHA-019"/>
    <s v="R01"/>
    <s v="ST-DHA-05"/>
    <x v="6"/>
    <s v="P034"/>
    <n v="6"/>
    <n v="0.12"/>
    <n v="17363"/>
    <n v="2"/>
    <x v="24"/>
    <s v="Yoga Mat"/>
    <s v="Sports"/>
    <n v="2730"/>
    <x v="90"/>
    <n v="1690"/>
    <n v="10140"/>
    <n v="6240"/>
    <x v="52"/>
    <x v="6"/>
    <x v="4"/>
    <x v="15"/>
  </r>
  <r>
    <s v="ORD-00128"/>
    <x v="111"/>
    <s v="CUS-MYM-021"/>
    <s v="R08"/>
    <s v="ST-MYM-02"/>
    <x v="3"/>
    <s v="P010"/>
    <n v="1"/>
    <n v="0.18"/>
    <n v="3359"/>
    <n v="10"/>
    <x v="31"/>
    <s v="Table Fan"/>
    <s v="Home Appliance"/>
    <n v="3110"/>
    <x v="77"/>
    <n v="2180"/>
    <n v="2180"/>
    <n v="930"/>
    <x v="80"/>
    <x v="3"/>
    <x v="2"/>
    <x v="20"/>
  </r>
  <r>
    <s v="ORD-00129"/>
    <x v="112"/>
    <s v="CUS-CTG-013"/>
    <s v="R02"/>
    <s v="ST-CTG-03"/>
    <x v="18"/>
    <s v="P001"/>
    <n v="5"/>
    <n v="0.18"/>
    <n v="18468"/>
    <n v="4"/>
    <x v="19"/>
    <s v="Bluetooth Speaker"/>
    <s v="Electronics"/>
    <n v="3240"/>
    <x v="16"/>
    <n v="2200"/>
    <n v="11000"/>
    <n v="5200"/>
    <x v="2"/>
    <x v="18"/>
    <x v="7"/>
    <x v="16"/>
  </r>
  <r>
    <s v="ORD-00130"/>
    <x v="113"/>
    <s v="CUS-SYL-015"/>
    <s v="R03"/>
    <s v="ST-SYL-02"/>
    <x v="20"/>
    <s v="P019"/>
    <n v="4"/>
    <n v="0.05"/>
    <n v="1883"/>
    <n v="1"/>
    <x v="7"/>
    <s v="Flour 2kg"/>
    <s v="Grocery"/>
    <n v="440"/>
    <x v="91"/>
    <n v="340"/>
    <n v="1360"/>
    <n v="400"/>
    <x v="74"/>
    <x v="20"/>
    <x v="3"/>
    <x v="32"/>
  </r>
  <r>
    <s v="ORD-00131"/>
    <x v="93"/>
    <s v="CUS-BAR-002"/>
    <s v="R06"/>
    <s v="ST-BAR-02"/>
    <x v="22"/>
    <s v="P005"/>
    <n v="2"/>
    <n v="0.08"/>
    <n v="10954"/>
    <n v="4"/>
    <x v="6"/>
    <s v="USB-C Hub"/>
    <s v="Electronics"/>
    <n v="4890"/>
    <x v="19"/>
    <n v="3330"/>
    <n v="6660"/>
    <n v="3120"/>
    <x v="63"/>
    <x v="22"/>
    <x v="5"/>
    <x v="11"/>
  </r>
  <r>
    <s v="ORD-00132"/>
    <x v="98"/>
    <s v="CUS-BAR-013"/>
    <s v="R06"/>
    <s v="ST-BAR-04"/>
    <x v="22"/>
    <s v="P042"/>
    <n v="10"/>
    <n v="7.0000000000000007E-2"/>
    <n v="20384"/>
    <n v="3"/>
    <x v="25"/>
    <s v="Toy Car Set"/>
    <s v="Kids &amp; Toys"/>
    <n v="1820"/>
    <x v="92"/>
    <n v="1000"/>
    <n v="10000"/>
    <n v="8200"/>
    <x v="83"/>
    <x v="22"/>
    <x v="5"/>
    <x v="12"/>
  </r>
  <r>
    <s v="ORD-00133"/>
    <x v="114"/>
    <s v="CUS-CTG-023"/>
    <s v="R02"/>
    <s v="ST-CTG-05"/>
    <x v="37"/>
    <s v="P038"/>
    <n v="3"/>
    <n v="0.02"/>
    <n v="1163"/>
    <n v="4"/>
    <x v="17"/>
    <s v="Office File Set"/>
    <s v="Stationery"/>
    <n v="340"/>
    <x v="93"/>
    <n v="170"/>
    <n v="510"/>
    <n v="510"/>
    <x v="43"/>
    <x v="37"/>
    <x v="7"/>
    <x v="31"/>
  </r>
  <r>
    <s v="ORD-00134"/>
    <x v="115"/>
    <s v="CUS-CTG-017"/>
    <s v="R02"/>
    <s v="ST-CTG-03"/>
    <x v="39"/>
    <s v="P049"/>
    <n v="3"/>
    <n v="7.0000000000000007E-2"/>
    <n v="14467"/>
    <n v="8"/>
    <x v="30"/>
    <s v="Bookshelf"/>
    <s v="Furniture"/>
    <n v="4230"/>
    <x v="94"/>
    <n v="3050"/>
    <n v="9150"/>
    <n v="3540"/>
    <x v="1"/>
    <x v="39"/>
    <x v="7"/>
    <x v="16"/>
  </r>
  <r>
    <s v="ORD-00135"/>
    <x v="116"/>
    <s v="CUS-BAR-016"/>
    <s v="R06"/>
    <s v="ST-BAR-04"/>
    <x v="12"/>
    <s v="P001"/>
    <n v="2"/>
    <n v="0.1"/>
    <n v="7258"/>
    <n v="7"/>
    <x v="12"/>
    <s v="Bluetooth Speaker"/>
    <s v="Electronics"/>
    <n v="3240"/>
    <x v="95"/>
    <n v="2200"/>
    <n v="4400"/>
    <n v="2080"/>
    <x v="38"/>
    <x v="12"/>
    <x v="5"/>
    <x v="12"/>
  </r>
  <r>
    <s v="ORD-00136"/>
    <x v="117"/>
    <s v="CUS-RAJ-005"/>
    <s v="R04"/>
    <s v="ST-RAJ-02"/>
    <x v="46"/>
    <s v="P009"/>
    <n v="3"/>
    <n v="0.15"/>
    <n v="14774"/>
    <n v="7"/>
    <x v="23"/>
    <s v="Steam Iron"/>
    <s v="Home Appliance"/>
    <n v="4560"/>
    <x v="6"/>
    <n v="3190"/>
    <n v="9570"/>
    <n v="4110"/>
    <x v="2"/>
    <x v="46"/>
    <x v="1"/>
    <x v="2"/>
  </r>
  <r>
    <s v="ORD-00137"/>
    <x v="118"/>
    <s v="CUS-BAR-024"/>
    <s v="R06"/>
    <s v="ST-BAR-01"/>
    <x v="22"/>
    <s v="P027"/>
    <n v="1"/>
    <n v="0.05"/>
    <n v="1355"/>
    <n v="4"/>
    <x v="20"/>
    <s v="Formal Shoe"/>
    <s v="Footwear"/>
    <n v="1210"/>
    <x v="96"/>
    <n v="730"/>
    <n v="730"/>
    <n v="480"/>
    <x v="84"/>
    <x v="22"/>
    <x v="5"/>
    <x v="9"/>
  </r>
  <r>
    <s v="ORD-00138"/>
    <x v="119"/>
    <s v="CUS-RAJ-002"/>
    <s v="R04"/>
    <s v="ST-RAJ-02"/>
    <x v="40"/>
    <s v="P021"/>
    <n v="3"/>
    <n v="0.03"/>
    <n v="4147"/>
    <n v="3"/>
    <x v="10"/>
    <s v="Face Wash"/>
    <s v="Beauty &amp; Personal Care"/>
    <n v="1280"/>
    <x v="97"/>
    <n v="740"/>
    <n v="2220"/>
    <n v="1620"/>
    <x v="34"/>
    <x v="40"/>
    <x v="1"/>
    <x v="2"/>
  </r>
  <r>
    <s v="ORD-00139"/>
    <x v="120"/>
    <s v="CUS-SYL-002"/>
    <s v="R03"/>
    <s v="ST-SYL-02"/>
    <x v="38"/>
    <s v="P045"/>
    <n v="8"/>
    <n v="0.12"/>
    <n v="7190"/>
    <n v="6"/>
    <x v="28"/>
    <s v="Kids Story Book"/>
    <s v="Kids &amp; Toys"/>
    <n v="840"/>
    <x v="98"/>
    <n v="460"/>
    <n v="3680"/>
    <n v="3040"/>
    <x v="4"/>
    <x v="38"/>
    <x v="3"/>
    <x v="32"/>
  </r>
  <r>
    <s v="ORD-00140"/>
    <x v="121"/>
    <s v="CUS-KHL-003"/>
    <s v="R05"/>
    <s v="ST-KHL-02"/>
    <x v="24"/>
    <s v="P022"/>
    <n v="5"/>
    <n v="0.05"/>
    <n v="9047"/>
    <n v="3"/>
    <x v="25"/>
    <s v="Shampoo 375ml"/>
    <s v="Beauty &amp; Personal Care"/>
    <n v="1660"/>
    <x v="99"/>
    <n v="960"/>
    <n v="4800"/>
    <n v="3500"/>
    <x v="85"/>
    <x v="24"/>
    <x v="6"/>
    <x v="14"/>
  </r>
  <r>
    <s v="ORD-00141"/>
    <x v="122"/>
    <s v="CUS-RAN-020"/>
    <s v="R07"/>
    <s v="ST-RAN-02"/>
    <x v="21"/>
    <s v="P038"/>
    <n v="3"/>
    <n v="0.03"/>
    <n v="1173"/>
    <n v="7"/>
    <x v="11"/>
    <s v="Office File Set"/>
    <s v="Stationery"/>
    <n v="340"/>
    <x v="93"/>
    <n v="170"/>
    <n v="510"/>
    <n v="510"/>
    <x v="35"/>
    <x v="21"/>
    <x v="0"/>
    <x v="6"/>
  </r>
  <r>
    <s v="ORD-00142"/>
    <x v="69"/>
    <s v="CUS-MYM-020"/>
    <s v="R08"/>
    <s v="ST-MYM-05"/>
    <x v="17"/>
    <s v="P005"/>
    <n v="1"/>
    <n v="0.08"/>
    <n v="5281"/>
    <n v="6"/>
    <x v="16"/>
    <s v="USB-C Hub"/>
    <s v="Electronics"/>
    <n v="4890"/>
    <x v="100"/>
    <n v="3330"/>
    <n v="3330"/>
    <n v="1560"/>
    <x v="86"/>
    <x v="17"/>
    <x v="2"/>
    <x v="28"/>
  </r>
  <r>
    <s v="ORD-00143"/>
    <x v="123"/>
    <s v="CUS-RAJ-017"/>
    <s v="R04"/>
    <s v="ST-RAJ-05"/>
    <x v="30"/>
    <s v="P011"/>
    <n v="3"/>
    <n v="0.05"/>
    <n v="6059"/>
    <n v="2"/>
    <x v="15"/>
    <s v="Cotton T-Shirt"/>
    <s v="Fashion"/>
    <n v="1870"/>
    <x v="63"/>
    <n v="1030"/>
    <n v="3090"/>
    <n v="2520"/>
    <x v="55"/>
    <x v="30"/>
    <x v="1"/>
    <x v="38"/>
  </r>
  <r>
    <s v="ORD-00144"/>
    <x v="124"/>
    <s v="CUS-DHA-018"/>
    <s v="R01"/>
    <s v="ST-DHA-05"/>
    <x v="44"/>
    <s v="P002"/>
    <n v="6"/>
    <n v="0.18"/>
    <n v="21242"/>
    <n v="2"/>
    <x v="10"/>
    <s v="Wireless Mouse"/>
    <s v="Electronics"/>
    <n v="3340"/>
    <x v="101"/>
    <n v="2270"/>
    <n v="13620"/>
    <n v="6420"/>
    <x v="45"/>
    <x v="44"/>
    <x v="4"/>
    <x v="15"/>
  </r>
  <r>
    <s v="ORD-00145"/>
    <x v="125"/>
    <s v="CUS-DHA-025"/>
    <s v="R01"/>
    <s v="ST-DHA-04"/>
    <x v="9"/>
    <s v="P011"/>
    <n v="4"/>
    <n v="0.1"/>
    <n v="7929"/>
    <n v="2"/>
    <x v="24"/>
    <s v="Cotton T-Shirt"/>
    <s v="Fashion"/>
    <n v="1870"/>
    <x v="35"/>
    <n v="1030"/>
    <n v="4120"/>
    <n v="3360"/>
    <x v="9"/>
    <x v="9"/>
    <x v="4"/>
    <x v="35"/>
  </r>
  <r>
    <s v="ORD-00146"/>
    <x v="126"/>
    <s v="CUS-RAN-012"/>
    <s v="R07"/>
    <s v="ST-RAN-05"/>
    <x v="0"/>
    <s v="P044"/>
    <n v="3"/>
    <n v="0.1"/>
    <n v="7762"/>
    <n v="9"/>
    <x v="32"/>
    <s v="Color Pencil Set"/>
    <s v="Kids &amp; Toys"/>
    <n v="2250"/>
    <x v="102"/>
    <n v="1240"/>
    <n v="3720"/>
    <n v="3030"/>
    <x v="87"/>
    <x v="0"/>
    <x v="0"/>
    <x v="39"/>
  </r>
  <r>
    <s v="ORD-00147"/>
    <x v="127"/>
    <s v="CUS-RAJ-003"/>
    <s v="R04"/>
    <s v="ST-RAJ-03"/>
    <x v="40"/>
    <s v="P042"/>
    <n v="2"/>
    <n v="0.03"/>
    <n v="3931"/>
    <n v="3"/>
    <x v="10"/>
    <s v="Toy Car Set"/>
    <s v="Kids &amp; Toys"/>
    <n v="1820"/>
    <x v="48"/>
    <n v="1000"/>
    <n v="2000"/>
    <n v="1640"/>
    <x v="88"/>
    <x v="40"/>
    <x v="1"/>
    <x v="18"/>
  </r>
  <r>
    <s v="ORD-00148"/>
    <x v="128"/>
    <s v="CUS-CTG-017"/>
    <s v="R02"/>
    <s v="ST-CTG-01"/>
    <x v="39"/>
    <s v="P026"/>
    <n v="2"/>
    <n v="0.03"/>
    <n v="8003"/>
    <n v="2"/>
    <x v="15"/>
    <s v="Running Shoe"/>
    <s v="Footwear"/>
    <n v="3510"/>
    <x v="66"/>
    <n v="2110"/>
    <n v="4220"/>
    <n v="2800"/>
    <x v="1"/>
    <x v="39"/>
    <x v="7"/>
    <x v="37"/>
  </r>
  <r>
    <s v="ORD-00149"/>
    <x v="129"/>
    <s v="CUS-SYL-014"/>
    <s v="R03"/>
    <s v="ST-SYL-05"/>
    <x v="38"/>
    <s v="P005"/>
    <n v="5"/>
    <n v="0.12"/>
    <n v="26162"/>
    <n v="5"/>
    <x v="5"/>
    <s v="USB-C Hub"/>
    <s v="Electronics"/>
    <n v="4890"/>
    <x v="103"/>
    <n v="3330"/>
    <n v="16650"/>
    <n v="7800"/>
    <x v="71"/>
    <x v="38"/>
    <x v="3"/>
    <x v="4"/>
  </r>
  <r>
    <s v="ORD-00150"/>
    <x v="130"/>
    <s v="CUS-RAJ-014"/>
    <s v="R04"/>
    <s v="ST-RAJ-05"/>
    <x v="40"/>
    <s v="P013"/>
    <n v="3"/>
    <n v="0.1"/>
    <n v="6448"/>
    <n v="4"/>
    <x v="6"/>
    <s v="Women Kurti"/>
    <s v="Fashion"/>
    <n v="1990"/>
    <x v="25"/>
    <n v="1090"/>
    <n v="3270"/>
    <n v="2700"/>
    <x v="49"/>
    <x v="40"/>
    <x v="1"/>
    <x v="38"/>
  </r>
  <r>
    <s v="ORD-00151"/>
    <x v="131"/>
    <s v="CUS-KHL-010"/>
    <s v="R05"/>
    <s v="ST-KHL-05"/>
    <x v="16"/>
    <s v="P034"/>
    <n v="4"/>
    <n v="0.03"/>
    <n v="11903"/>
    <n v="3"/>
    <x v="10"/>
    <s v="Yoga Mat"/>
    <s v="Sports"/>
    <n v="2730"/>
    <x v="104"/>
    <n v="1690"/>
    <n v="6760"/>
    <n v="4160"/>
    <x v="51"/>
    <x v="16"/>
    <x v="6"/>
    <x v="30"/>
  </r>
  <r>
    <s v="ORD-00152"/>
    <x v="132"/>
    <s v="CUS-SYL-004"/>
    <s v="R03"/>
    <s v="ST-SYL-02"/>
    <x v="5"/>
    <s v="P010"/>
    <n v="7"/>
    <n v="0.08"/>
    <n v="23294"/>
    <n v="3"/>
    <x v="25"/>
    <s v="Table Fan"/>
    <s v="Home Appliance"/>
    <n v="3110"/>
    <x v="105"/>
    <n v="2180"/>
    <n v="15260"/>
    <n v="6510"/>
    <x v="29"/>
    <x v="5"/>
    <x v="3"/>
    <x v="32"/>
  </r>
  <r>
    <s v="ORD-00153"/>
    <x v="121"/>
    <s v="CUS-SYL-013"/>
    <s v="R03"/>
    <s v="ST-SYL-01"/>
    <x v="34"/>
    <s v="P038"/>
    <n v="7"/>
    <n v="0"/>
    <n v="2547"/>
    <n v="4"/>
    <x v="17"/>
    <s v="Office File Set"/>
    <s v="Stationery"/>
    <n v="340"/>
    <x v="106"/>
    <n v="170"/>
    <n v="1190"/>
    <n v="1190"/>
    <x v="89"/>
    <x v="34"/>
    <x v="3"/>
    <x v="25"/>
  </r>
  <r>
    <s v="ORD-00154"/>
    <x v="133"/>
    <s v="CUS-CTG-020"/>
    <s v="R02"/>
    <s v="ST-CTG-01"/>
    <x v="37"/>
    <s v="P009"/>
    <n v="3"/>
    <n v="0.18"/>
    <n v="15595"/>
    <n v="7"/>
    <x v="23"/>
    <s v="Steam Iron"/>
    <s v="Home Appliance"/>
    <n v="4560"/>
    <x v="6"/>
    <n v="3190"/>
    <n v="9570"/>
    <n v="4110"/>
    <x v="35"/>
    <x v="37"/>
    <x v="7"/>
    <x v="37"/>
  </r>
  <r>
    <s v="ORD-00155"/>
    <x v="134"/>
    <s v="CUS-KHL-023"/>
    <s v="R05"/>
    <s v="ST-KHL-05"/>
    <x v="45"/>
    <s v="P047"/>
    <n v="3"/>
    <n v="0.1"/>
    <n v="38194"/>
    <n v="9"/>
    <x v="32"/>
    <s v="Study Table"/>
    <s v="Furniture"/>
    <n v="11680"/>
    <x v="107"/>
    <n v="8410"/>
    <n v="25230"/>
    <n v="9810"/>
    <x v="69"/>
    <x v="45"/>
    <x v="6"/>
    <x v="30"/>
  </r>
  <r>
    <s v="ORD-00156"/>
    <x v="135"/>
    <s v="CUS-KHL-007"/>
    <s v="R05"/>
    <s v="ST-KHL-01"/>
    <x v="29"/>
    <s v="P015"/>
    <n v="3"/>
    <n v="0.03"/>
    <n v="8567"/>
    <n v="3"/>
    <x v="10"/>
    <s v="Leather Belt"/>
    <s v="Fashion"/>
    <n v="2620"/>
    <x v="108"/>
    <n v="1440"/>
    <n v="4320"/>
    <n v="3540"/>
    <x v="79"/>
    <x v="29"/>
    <x v="6"/>
    <x v="24"/>
  </r>
  <r>
    <s v="ORD-00157"/>
    <x v="136"/>
    <s v="CUS-BAR-008"/>
    <s v="R06"/>
    <s v="ST-BAR-01"/>
    <x v="8"/>
    <s v="P002"/>
    <n v="4"/>
    <n v="0.12"/>
    <n v="14963"/>
    <n v="4"/>
    <x v="6"/>
    <s v="Wireless Mouse"/>
    <s v="Electronics"/>
    <n v="3340"/>
    <x v="83"/>
    <n v="2270"/>
    <n v="9080"/>
    <n v="4280"/>
    <x v="90"/>
    <x v="8"/>
    <x v="5"/>
    <x v="9"/>
  </r>
  <r>
    <s v="ORD-00158"/>
    <x v="12"/>
    <s v="CUS-RAJ-017"/>
    <s v="R04"/>
    <s v="ST-RAJ-01"/>
    <x v="30"/>
    <s v="P029"/>
    <n v="5"/>
    <n v="0.12"/>
    <n v="14472"/>
    <n v="2"/>
    <x v="24"/>
    <s v="Kids Sneaker"/>
    <s v="Footwear"/>
    <n v="2680"/>
    <x v="109"/>
    <n v="1610"/>
    <n v="8050"/>
    <n v="5350"/>
    <x v="55"/>
    <x v="30"/>
    <x v="1"/>
    <x v="36"/>
  </r>
  <r>
    <s v="ORD-00159"/>
    <x v="137"/>
    <s v="CUS-BAR-012"/>
    <s v="R06"/>
    <s v="ST-BAR-03"/>
    <x v="8"/>
    <s v="P022"/>
    <n v="2"/>
    <n v="0.1"/>
    <n v="3718"/>
    <n v="4"/>
    <x v="6"/>
    <s v="Shampoo 375ml"/>
    <s v="Beauty &amp; Personal Care"/>
    <n v="1660"/>
    <x v="110"/>
    <n v="960"/>
    <n v="1920"/>
    <n v="1400"/>
    <x v="72"/>
    <x v="8"/>
    <x v="5"/>
    <x v="27"/>
  </r>
  <r>
    <s v="ORD-00160"/>
    <x v="138"/>
    <s v="CUS-RAN-017"/>
    <s v="R07"/>
    <s v="ST-RAN-01"/>
    <x v="21"/>
    <s v="P002"/>
    <n v="2"/>
    <n v="0.08"/>
    <n v="7682"/>
    <n v="5"/>
    <x v="29"/>
    <s v="Wireless Mouse"/>
    <s v="Electronics"/>
    <n v="3340"/>
    <x v="15"/>
    <n v="2270"/>
    <n v="4540"/>
    <n v="2140"/>
    <x v="0"/>
    <x v="21"/>
    <x v="0"/>
    <x v="0"/>
  </r>
  <r>
    <s v="ORD-00161"/>
    <x v="139"/>
    <s v="CUS-KHL-018"/>
    <s v="R05"/>
    <s v="ST-KHL-05"/>
    <x v="16"/>
    <s v="P028"/>
    <n v="3"/>
    <n v="0.05"/>
    <n v="10529"/>
    <n v="3"/>
    <x v="25"/>
    <s v="Ladies Sandal"/>
    <s v="Footwear"/>
    <n v="3220"/>
    <x v="111"/>
    <n v="1930"/>
    <n v="5790"/>
    <n v="3870"/>
    <x v="32"/>
    <x v="16"/>
    <x v="6"/>
    <x v="30"/>
  </r>
  <r>
    <s v="ORD-00162"/>
    <x v="140"/>
    <s v="CUS-MYM-022"/>
    <s v="R08"/>
    <s v="ST-MYM-04"/>
    <x v="31"/>
    <s v="P041"/>
    <n v="1"/>
    <n v="0.03"/>
    <n v="907"/>
    <n v="1"/>
    <x v="7"/>
    <s v="Building Blocks"/>
    <s v="Kids &amp; Toys"/>
    <n v="840"/>
    <x v="112"/>
    <n v="460"/>
    <n v="460"/>
    <n v="380"/>
    <x v="25"/>
    <x v="31"/>
    <x v="2"/>
    <x v="34"/>
  </r>
  <r>
    <s v="ORD-00163"/>
    <x v="128"/>
    <s v="CUS-RAN-021"/>
    <s v="R07"/>
    <s v="ST-RAN-02"/>
    <x v="0"/>
    <s v="P029"/>
    <n v="2"/>
    <n v="7.0000000000000007E-2"/>
    <n v="6164"/>
    <n v="6"/>
    <x v="16"/>
    <s v="Kids Sneaker"/>
    <s v="Footwear"/>
    <n v="2680"/>
    <x v="56"/>
    <n v="1610"/>
    <n v="3220"/>
    <n v="2140"/>
    <x v="15"/>
    <x v="0"/>
    <x v="0"/>
    <x v="6"/>
  </r>
  <r>
    <s v="ORD-00164"/>
    <x v="141"/>
    <s v="CUS-KHL-008"/>
    <s v="R05"/>
    <s v="ST-KHL-03"/>
    <x v="45"/>
    <s v="P010"/>
    <n v="1"/>
    <n v="0.15"/>
    <n v="3390"/>
    <n v="5"/>
    <x v="5"/>
    <s v="Table Fan"/>
    <s v="Home Appliance"/>
    <n v="3110"/>
    <x v="77"/>
    <n v="2180"/>
    <n v="2180"/>
    <n v="930"/>
    <x v="91"/>
    <x v="45"/>
    <x v="6"/>
    <x v="17"/>
  </r>
  <r>
    <s v="ORD-00165"/>
    <x v="49"/>
    <s v="CUS-BAR-012"/>
    <s v="R06"/>
    <s v="ST-BAR-02"/>
    <x v="12"/>
    <s v="P005"/>
    <n v="2"/>
    <n v="0.1"/>
    <n v="10954"/>
    <n v="5"/>
    <x v="29"/>
    <s v="USB-C Hub"/>
    <s v="Electronics"/>
    <n v="4890"/>
    <x v="19"/>
    <n v="3330"/>
    <n v="6660"/>
    <n v="3120"/>
    <x v="72"/>
    <x v="12"/>
    <x v="5"/>
    <x v="11"/>
  </r>
  <r>
    <s v="ORD-00166"/>
    <x v="142"/>
    <s v="CUS-KHL-007"/>
    <s v="R05"/>
    <s v="ST-KHL-02"/>
    <x v="36"/>
    <s v="P039"/>
    <n v="1"/>
    <n v="0"/>
    <n v="1134"/>
    <n v="4"/>
    <x v="17"/>
    <s v="Marker Set"/>
    <s v="Stationery"/>
    <n v="1040"/>
    <x v="37"/>
    <n v="520"/>
    <n v="520"/>
    <n v="520"/>
    <x v="79"/>
    <x v="36"/>
    <x v="6"/>
    <x v="14"/>
  </r>
  <r>
    <s v="ORD-00167"/>
    <x v="143"/>
    <s v="CUS-CTG-022"/>
    <s v="R02"/>
    <s v="ST-CTG-04"/>
    <x v="18"/>
    <s v="P001"/>
    <n v="5"/>
    <n v="0.12"/>
    <n v="18468"/>
    <n v="3"/>
    <x v="21"/>
    <s v="Bluetooth Speaker"/>
    <s v="Electronics"/>
    <n v="3240"/>
    <x v="16"/>
    <n v="2200"/>
    <n v="11000"/>
    <n v="5200"/>
    <x v="74"/>
    <x v="18"/>
    <x v="7"/>
    <x v="33"/>
  </r>
  <r>
    <s v="ORD-00168"/>
    <x v="144"/>
    <s v="CUS-KHL-016"/>
    <s v="R05"/>
    <s v="ST-KHL-02"/>
    <x v="29"/>
    <s v="P006"/>
    <n v="4"/>
    <n v="0.1"/>
    <n v="31392"/>
    <n v="4"/>
    <x v="6"/>
    <s v="Electric Kettle"/>
    <s v="Home Appliance"/>
    <n v="7200"/>
    <x v="113"/>
    <n v="5040"/>
    <n v="20160"/>
    <n v="8640"/>
    <x v="54"/>
    <x v="29"/>
    <x v="6"/>
    <x v="14"/>
  </r>
  <r>
    <s v="ORD-00169"/>
    <x v="145"/>
    <s v="CUS-DHA-017"/>
    <s v="R01"/>
    <s v="ST-DHA-04"/>
    <x v="6"/>
    <s v="P046"/>
    <n v="3"/>
    <n v="0.1"/>
    <n v="13928"/>
    <n v="6"/>
    <x v="16"/>
    <s v="Office Chair"/>
    <s v="Furniture"/>
    <n v="4380"/>
    <x v="114"/>
    <n v="3150"/>
    <n v="9450"/>
    <n v="3690"/>
    <x v="68"/>
    <x v="6"/>
    <x v="4"/>
    <x v="35"/>
  </r>
  <r>
    <s v="ORD-00170"/>
    <x v="146"/>
    <s v="CUS-MYM-004"/>
    <s v="R08"/>
    <s v="ST-MYM-05"/>
    <x v="19"/>
    <s v="P007"/>
    <n v="1"/>
    <n v="0.1"/>
    <n v="8024"/>
    <n v="4"/>
    <x v="6"/>
    <s v="Rice Cooker"/>
    <s v="Home Appliance"/>
    <n v="7430"/>
    <x v="8"/>
    <n v="5200"/>
    <n v="5200"/>
    <n v="2230"/>
    <x v="92"/>
    <x v="19"/>
    <x v="2"/>
    <x v="28"/>
  </r>
  <r>
    <s v="ORD-00171"/>
    <x v="147"/>
    <s v="CUS-RAN-019"/>
    <s v="R07"/>
    <s v="ST-RAN-01"/>
    <x v="42"/>
    <s v="P009"/>
    <n v="1"/>
    <n v="0.12"/>
    <n v="5244"/>
    <n v="8"/>
    <x v="27"/>
    <s v="Steam Iron"/>
    <s v="Home Appliance"/>
    <n v="4560"/>
    <x v="115"/>
    <n v="3190"/>
    <n v="3190"/>
    <n v="1370"/>
    <x v="93"/>
    <x v="42"/>
    <x v="0"/>
    <x v="0"/>
  </r>
  <r>
    <s v="ORD-00172"/>
    <x v="6"/>
    <s v="CUS-BAR-012"/>
    <s v="R06"/>
    <s v="ST-BAR-02"/>
    <x v="22"/>
    <s v="P011"/>
    <n v="5"/>
    <n v="7.0000000000000007E-2"/>
    <n v="10472"/>
    <n v="7"/>
    <x v="2"/>
    <s v="Cotton T-Shirt"/>
    <s v="Fashion"/>
    <n v="1870"/>
    <x v="73"/>
    <n v="1030"/>
    <n v="5150"/>
    <n v="4200"/>
    <x v="72"/>
    <x v="22"/>
    <x v="5"/>
    <x v="11"/>
  </r>
  <r>
    <s v="ORD-00173"/>
    <x v="148"/>
    <s v="CUS-RAN-009"/>
    <s v="R07"/>
    <s v="ST-RAN-04"/>
    <x v="27"/>
    <s v="P020"/>
    <n v="5"/>
    <n v="0.03"/>
    <n v="12305"/>
    <n v="7"/>
    <x v="11"/>
    <s v="Tea Pack 500g"/>
    <s v="Grocery"/>
    <n v="2140"/>
    <x v="116"/>
    <n v="1670"/>
    <n v="8350"/>
    <n v="2350"/>
    <x v="7"/>
    <x v="27"/>
    <x v="0"/>
    <x v="13"/>
  </r>
  <r>
    <s v="ORD-00174"/>
    <x v="63"/>
    <s v="CUS-RAN-007"/>
    <s v="R07"/>
    <s v="ST-RAN-02"/>
    <x v="0"/>
    <s v="P003"/>
    <n v="1"/>
    <n v="0.15"/>
    <n v="3266"/>
    <n v="4"/>
    <x v="3"/>
    <s v="Power Bank"/>
    <s v="Electronics"/>
    <n v="2840"/>
    <x v="53"/>
    <n v="1930"/>
    <n v="1930"/>
    <n v="910"/>
    <x v="30"/>
    <x v="0"/>
    <x v="0"/>
    <x v="6"/>
  </r>
  <r>
    <s v="ORD-00175"/>
    <x v="149"/>
    <s v="CUS-SYL-021"/>
    <s v="R03"/>
    <s v="ST-SYL-05"/>
    <x v="5"/>
    <s v="P030"/>
    <n v="2"/>
    <n v="0.12"/>
    <n v="4002"/>
    <n v="3"/>
    <x v="21"/>
    <s v="Casual Loafer"/>
    <s v="Footwear"/>
    <n v="1870"/>
    <x v="117"/>
    <n v="1120"/>
    <n v="2240"/>
    <n v="1500"/>
    <x v="10"/>
    <x v="5"/>
    <x v="3"/>
    <x v="4"/>
  </r>
  <r>
    <s v="ORD-00176"/>
    <x v="150"/>
    <s v="CUS-CTG-023"/>
    <s v="R02"/>
    <s v="ST-CTG-02"/>
    <x v="41"/>
    <s v="P004"/>
    <n v="2"/>
    <n v="0.08"/>
    <n v="8824"/>
    <n v="5"/>
    <x v="29"/>
    <s v="Smart Watch"/>
    <s v="Electronics"/>
    <n v="3870"/>
    <x v="118"/>
    <n v="2630"/>
    <n v="5260"/>
    <n v="2480"/>
    <x v="43"/>
    <x v="41"/>
    <x v="7"/>
    <x v="22"/>
  </r>
  <r>
    <s v="ORD-00177"/>
    <x v="151"/>
    <s v="CUS-MYM-024"/>
    <s v="R08"/>
    <s v="ST-MYM-03"/>
    <x v="3"/>
    <s v="P008"/>
    <n v="2"/>
    <n v="0.15"/>
    <n v="5249"/>
    <n v="9"/>
    <x v="0"/>
    <s v="Blender Machine"/>
    <s v="Home Appliance"/>
    <n v="2430"/>
    <x v="47"/>
    <n v="1700"/>
    <n v="3400"/>
    <n v="1460"/>
    <x v="94"/>
    <x v="3"/>
    <x v="2"/>
    <x v="10"/>
  </r>
  <r>
    <s v="ORD-00178"/>
    <x v="0"/>
    <s v="CUS-RAJ-019"/>
    <s v="R04"/>
    <s v="ST-RAJ-05"/>
    <x v="30"/>
    <s v="P025"/>
    <n v="8"/>
    <n v="7.0000000000000007E-2"/>
    <n v="10886"/>
    <n v="6"/>
    <x v="16"/>
    <s v="Perfume Spray"/>
    <s v="Beauty &amp; Personal Care"/>
    <n v="1260"/>
    <x v="119"/>
    <n v="730"/>
    <n v="5840"/>
    <n v="4240"/>
    <x v="95"/>
    <x v="30"/>
    <x v="1"/>
    <x v="38"/>
  </r>
  <r>
    <s v="ORD-00179"/>
    <x v="152"/>
    <s v="CUS-BAR-011"/>
    <s v="R06"/>
    <s v="ST-BAR-05"/>
    <x v="22"/>
    <s v="P034"/>
    <n v="7"/>
    <n v="0.12"/>
    <n v="21403"/>
    <n v="4"/>
    <x v="6"/>
    <s v="Yoga Mat"/>
    <s v="Sports"/>
    <n v="2730"/>
    <x v="120"/>
    <n v="1690"/>
    <n v="11830"/>
    <n v="7280"/>
    <x v="39"/>
    <x v="22"/>
    <x v="5"/>
    <x v="7"/>
  </r>
  <r>
    <s v="ORD-00180"/>
    <x v="103"/>
    <s v="CUS-SYL-006"/>
    <s v="R03"/>
    <s v="ST-SYL-03"/>
    <x v="32"/>
    <s v="P024"/>
    <n v="5"/>
    <n v="0.03"/>
    <n v="7544"/>
    <n v="5"/>
    <x v="19"/>
    <s v="Toothpaste Twin Pack"/>
    <s v="Beauty &amp; Personal Care"/>
    <n v="1410"/>
    <x v="121"/>
    <n v="820"/>
    <n v="4100"/>
    <n v="2950"/>
    <x v="47"/>
    <x v="32"/>
    <x v="3"/>
    <x v="23"/>
  </r>
  <r>
    <s v="ORD-00181"/>
    <x v="80"/>
    <s v="CUS-CTG-006"/>
    <s v="R02"/>
    <s v="ST-CTG-03"/>
    <x v="23"/>
    <s v="P007"/>
    <n v="4"/>
    <n v="0.18"/>
    <n v="33881"/>
    <n v="6"/>
    <x v="11"/>
    <s v="Rice Cooker"/>
    <s v="Home Appliance"/>
    <n v="7430"/>
    <x v="122"/>
    <n v="5200"/>
    <n v="20800"/>
    <n v="8920"/>
    <x v="96"/>
    <x v="23"/>
    <x v="7"/>
    <x v="16"/>
  </r>
  <r>
    <s v="ORD-00182"/>
    <x v="153"/>
    <s v="CUS-MYM-025"/>
    <s v="R08"/>
    <s v="ST-MYM-03"/>
    <x v="43"/>
    <s v="P021"/>
    <n v="2"/>
    <n v="0.03"/>
    <n v="2765"/>
    <n v="3"/>
    <x v="10"/>
    <s v="Face Wash"/>
    <s v="Beauty &amp; Personal Care"/>
    <n v="1280"/>
    <x v="123"/>
    <n v="740"/>
    <n v="1480"/>
    <n v="1080"/>
    <x v="23"/>
    <x v="43"/>
    <x v="2"/>
    <x v="10"/>
  </r>
  <r>
    <s v="ORD-00183"/>
    <x v="154"/>
    <s v="CUS-SYL-024"/>
    <s v="R03"/>
    <s v="ST-SYL-02"/>
    <x v="25"/>
    <s v="P005"/>
    <n v="2"/>
    <n v="0.08"/>
    <n v="10465"/>
    <n v="6"/>
    <x v="16"/>
    <s v="USB-C Hub"/>
    <s v="Electronics"/>
    <n v="4890"/>
    <x v="19"/>
    <n v="3330"/>
    <n v="6660"/>
    <n v="3120"/>
    <x v="97"/>
    <x v="25"/>
    <x v="3"/>
    <x v="32"/>
  </r>
  <r>
    <s v="ORD-00184"/>
    <x v="155"/>
    <s v="CUS-MYM-018"/>
    <s v="R08"/>
    <s v="ST-MYM-01"/>
    <x v="17"/>
    <s v="P034"/>
    <n v="3"/>
    <n v="0.05"/>
    <n v="8845"/>
    <n v="6"/>
    <x v="4"/>
    <s v="Yoga Mat"/>
    <s v="Sports"/>
    <n v="2730"/>
    <x v="124"/>
    <n v="1690"/>
    <n v="5070"/>
    <n v="3120"/>
    <x v="11"/>
    <x v="17"/>
    <x v="2"/>
    <x v="3"/>
  </r>
  <r>
    <s v="ORD-00185"/>
    <x v="156"/>
    <s v="CUS-CTG-021"/>
    <s v="R02"/>
    <s v="ST-CTG-04"/>
    <x v="15"/>
    <s v="P005"/>
    <n v="2"/>
    <n v="0.1"/>
    <n v="11149"/>
    <n v="7"/>
    <x v="12"/>
    <s v="USB-C Hub"/>
    <s v="Electronics"/>
    <n v="4890"/>
    <x v="19"/>
    <n v="3330"/>
    <n v="6660"/>
    <n v="3120"/>
    <x v="98"/>
    <x v="15"/>
    <x v="7"/>
    <x v="33"/>
  </r>
  <r>
    <s v="ORD-00186"/>
    <x v="157"/>
    <s v="CUS-DHA-002"/>
    <s v="R01"/>
    <s v="ST-DHA-03"/>
    <x v="14"/>
    <s v="P041"/>
    <n v="10"/>
    <n v="7.0000000000000007E-2"/>
    <n v="8904"/>
    <n v="5"/>
    <x v="29"/>
    <s v="Building Blocks"/>
    <s v="Kids &amp; Toys"/>
    <n v="840"/>
    <x v="125"/>
    <n v="460"/>
    <n v="4600"/>
    <n v="3800"/>
    <x v="86"/>
    <x v="14"/>
    <x v="4"/>
    <x v="5"/>
  </r>
  <r>
    <s v="ORD-00187"/>
    <x v="158"/>
    <s v="CUS-MYM-005"/>
    <s v="R08"/>
    <s v="ST-MYM-05"/>
    <x v="11"/>
    <s v="P021"/>
    <n v="5"/>
    <n v="0.12"/>
    <n v="6912"/>
    <n v="2"/>
    <x v="24"/>
    <s v="Face Wash"/>
    <s v="Beauty &amp; Personal Care"/>
    <n v="1280"/>
    <x v="126"/>
    <n v="740"/>
    <n v="3700"/>
    <n v="2700"/>
    <x v="3"/>
    <x v="11"/>
    <x v="2"/>
    <x v="28"/>
  </r>
  <r>
    <s v="ORD-00188"/>
    <x v="159"/>
    <s v="CUS-KHL-012"/>
    <s v="R05"/>
    <s v="ST-KHL-04"/>
    <x v="29"/>
    <s v="P005"/>
    <n v="3"/>
    <n v="0.15"/>
    <n v="15990"/>
    <n v="4"/>
    <x v="3"/>
    <s v="USB-C Hub"/>
    <s v="Electronics"/>
    <n v="4890"/>
    <x v="27"/>
    <n v="3330"/>
    <n v="9990"/>
    <n v="4680"/>
    <x v="37"/>
    <x v="29"/>
    <x v="6"/>
    <x v="19"/>
  </r>
  <r>
    <s v="ORD-00189"/>
    <x v="160"/>
    <s v="CUS-KHL-005"/>
    <s v="R05"/>
    <s v="ST-KHL-03"/>
    <x v="45"/>
    <s v="P001"/>
    <n v="2"/>
    <n v="0.15"/>
    <n v="7063"/>
    <n v="1"/>
    <x v="1"/>
    <s v="Bluetooth Speaker"/>
    <s v="Electronics"/>
    <n v="3240"/>
    <x v="95"/>
    <n v="2200"/>
    <n v="4400"/>
    <n v="2080"/>
    <x v="16"/>
    <x v="45"/>
    <x v="6"/>
    <x v="17"/>
  </r>
  <r>
    <s v="ORD-00190"/>
    <x v="161"/>
    <s v="CUS-MYM-025"/>
    <s v="R08"/>
    <s v="ST-MYM-04"/>
    <x v="3"/>
    <s v="P001"/>
    <n v="6"/>
    <n v="0.1"/>
    <n v="20995"/>
    <n v="3"/>
    <x v="21"/>
    <s v="Bluetooth Speaker"/>
    <s v="Electronics"/>
    <n v="3240"/>
    <x v="82"/>
    <n v="2200"/>
    <n v="13200"/>
    <n v="6240"/>
    <x v="23"/>
    <x v="3"/>
    <x v="2"/>
    <x v="34"/>
  </r>
  <r>
    <s v="ORD-00191"/>
    <x v="162"/>
    <s v="CUS-DHA-018"/>
    <s v="R01"/>
    <s v="ST-DHA-03"/>
    <x v="28"/>
    <s v="P010"/>
    <n v="2"/>
    <n v="0.15"/>
    <n v="6593"/>
    <n v="5"/>
    <x v="5"/>
    <s v="Table Fan"/>
    <s v="Home Appliance"/>
    <n v="3110"/>
    <x v="127"/>
    <n v="2180"/>
    <n v="4360"/>
    <n v="1860"/>
    <x v="45"/>
    <x v="28"/>
    <x v="4"/>
    <x v="5"/>
  </r>
  <r>
    <s v="ORD-00192"/>
    <x v="163"/>
    <s v="CUS-CTG-014"/>
    <s v="R02"/>
    <s v="ST-CTG-02"/>
    <x v="18"/>
    <s v="P034"/>
    <n v="2"/>
    <n v="0.12"/>
    <n v="6224"/>
    <n v="4"/>
    <x v="6"/>
    <s v="Yoga Mat"/>
    <s v="Sports"/>
    <n v="2730"/>
    <x v="20"/>
    <n v="1690"/>
    <n v="3380"/>
    <n v="2080"/>
    <x v="32"/>
    <x v="18"/>
    <x v="7"/>
    <x v="22"/>
  </r>
  <r>
    <s v="ORD-00193"/>
    <x v="164"/>
    <s v="CUS-KHL-014"/>
    <s v="R05"/>
    <s v="ST-KHL-02"/>
    <x v="45"/>
    <s v="P004"/>
    <n v="1"/>
    <n v="0.15"/>
    <n v="4218"/>
    <n v="2"/>
    <x v="10"/>
    <s v="Smart Watch"/>
    <s v="Electronics"/>
    <n v="3870"/>
    <x v="80"/>
    <n v="2630"/>
    <n v="2630"/>
    <n v="1240"/>
    <x v="43"/>
    <x v="45"/>
    <x v="6"/>
    <x v="14"/>
  </r>
  <r>
    <s v="ORD-00194"/>
    <x v="165"/>
    <s v="CUS-MYM-007"/>
    <s v="R08"/>
    <s v="ST-MYM-03"/>
    <x v="17"/>
    <s v="P003"/>
    <n v="1"/>
    <n v="0.08"/>
    <n v="3067"/>
    <n v="3"/>
    <x v="25"/>
    <s v="Power Bank"/>
    <s v="Electronics"/>
    <n v="2840"/>
    <x v="53"/>
    <n v="1930"/>
    <n v="1930"/>
    <n v="910"/>
    <x v="46"/>
    <x v="17"/>
    <x v="2"/>
    <x v="10"/>
  </r>
  <r>
    <s v="ORD-00195"/>
    <x v="146"/>
    <s v="CUS-KHL-009"/>
    <s v="R05"/>
    <s v="ST-KHL-02"/>
    <x v="13"/>
    <s v="P011"/>
    <n v="1"/>
    <n v="0.05"/>
    <n v="2038"/>
    <n v="4"/>
    <x v="20"/>
    <s v="Cotton T-Shirt"/>
    <s v="Fashion"/>
    <n v="1870"/>
    <x v="43"/>
    <n v="1030"/>
    <n v="1030"/>
    <n v="840"/>
    <x v="99"/>
    <x v="13"/>
    <x v="6"/>
    <x v="14"/>
  </r>
  <r>
    <s v="ORD-00196"/>
    <x v="166"/>
    <s v="CUS-RAN-010"/>
    <s v="R07"/>
    <s v="ST-RAN-04"/>
    <x v="42"/>
    <s v="P012"/>
    <n v="2"/>
    <n v="0.05"/>
    <n v="4186"/>
    <n v="6"/>
    <x v="4"/>
    <s v="Formal Shirt"/>
    <s v="Fashion"/>
    <n v="1820"/>
    <x v="48"/>
    <n v="1000"/>
    <n v="2000"/>
    <n v="1640"/>
    <x v="100"/>
    <x v="42"/>
    <x v="0"/>
    <x v="13"/>
  </r>
  <r>
    <s v="ORD-00197"/>
    <x v="167"/>
    <s v="CUS-DHA-009"/>
    <s v="R01"/>
    <s v="ST-DHA-04"/>
    <x v="44"/>
    <s v="P018"/>
    <n v="1"/>
    <n v="0.03"/>
    <n v="1813"/>
    <n v="3"/>
    <x v="10"/>
    <s v="Lentil 1kg"/>
    <s v="Grocery"/>
    <n v="1710"/>
    <x v="84"/>
    <n v="1330"/>
    <n v="1330"/>
    <n v="380"/>
    <x v="101"/>
    <x v="44"/>
    <x v="4"/>
    <x v="35"/>
  </r>
  <r>
    <s v="ORD-00198"/>
    <x v="37"/>
    <s v="CUS-CTG-025"/>
    <s v="R02"/>
    <s v="ST-CTG-02"/>
    <x v="39"/>
    <s v="P034"/>
    <n v="1"/>
    <n v="0.05"/>
    <n v="3112"/>
    <n v="2"/>
    <x v="15"/>
    <s v="Yoga Mat"/>
    <s v="Sports"/>
    <n v="2730"/>
    <x v="128"/>
    <n v="1690"/>
    <n v="1690"/>
    <n v="1040"/>
    <x v="67"/>
    <x v="39"/>
    <x v="7"/>
    <x v="22"/>
  </r>
  <r>
    <s v="ORD-00199"/>
    <x v="168"/>
    <s v="CUS-MYM-024"/>
    <s v="R08"/>
    <s v="ST-MYM-01"/>
    <x v="31"/>
    <s v="P026"/>
    <n v="2"/>
    <n v="7.0000000000000007E-2"/>
    <n v="7582"/>
    <n v="5"/>
    <x v="29"/>
    <s v="Running Shoe"/>
    <s v="Footwear"/>
    <n v="3510"/>
    <x v="66"/>
    <n v="2110"/>
    <n v="4220"/>
    <n v="2800"/>
    <x v="94"/>
    <x v="31"/>
    <x v="2"/>
    <x v="3"/>
  </r>
  <r>
    <s v="ORD-00200"/>
    <x v="169"/>
    <s v="CUS-DHA-024"/>
    <s v="R01"/>
    <s v="ST-DHA-05"/>
    <x v="9"/>
    <s v="P003"/>
    <n v="3"/>
    <n v="0.1"/>
    <n v="9031"/>
    <n v="2"/>
    <x v="24"/>
    <s v="Power Bank"/>
    <s v="Electronics"/>
    <n v="2840"/>
    <x v="3"/>
    <n v="1930"/>
    <n v="5790"/>
    <n v="2730"/>
    <x v="48"/>
    <x v="9"/>
    <x v="4"/>
    <x v="15"/>
  </r>
  <r>
    <s v="ORD-00201"/>
    <x v="170"/>
    <s v="CUS-BAR-002"/>
    <s v="R06"/>
    <s v="ST-BAR-02"/>
    <x v="47"/>
    <s v="P005"/>
    <n v="2"/>
    <n v="0.12"/>
    <n v="10954"/>
    <n v="3"/>
    <x v="21"/>
    <s v="USB-C Hub"/>
    <s v="Electronics"/>
    <n v="4890"/>
    <x v="19"/>
    <n v="3330"/>
    <n v="6660"/>
    <n v="3120"/>
    <x v="63"/>
    <x v="47"/>
    <x v="5"/>
    <x v="11"/>
  </r>
  <r>
    <s v="ORD-00202"/>
    <x v="97"/>
    <s v="CUS-RAJ-001"/>
    <s v="R04"/>
    <s v="ST-RAJ-01"/>
    <x v="40"/>
    <s v="P035"/>
    <n v="4"/>
    <n v="0.05"/>
    <n v="4795"/>
    <n v="3"/>
    <x v="25"/>
    <s v="Dumbbell Set"/>
    <s v="Sports"/>
    <n v="1110"/>
    <x v="52"/>
    <n v="690"/>
    <n v="2760"/>
    <n v="1680"/>
    <x v="102"/>
    <x v="40"/>
    <x v="1"/>
    <x v="36"/>
  </r>
  <r>
    <s v="ORD-00203"/>
    <x v="171"/>
    <s v="CUS-BAR-025"/>
    <s v="R06"/>
    <s v="ST-BAR-01"/>
    <x v="8"/>
    <s v="P003"/>
    <n v="5"/>
    <n v="0.08"/>
    <n v="15904"/>
    <n v="7"/>
    <x v="2"/>
    <s v="Power Bank"/>
    <s v="Electronics"/>
    <n v="2840"/>
    <x v="57"/>
    <n v="1930"/>
    <n v="9650"/>
    <n v="4550"/>
    <x v="8"/>
    <x v="8"/>
    <x v="5"/>
    <x v="9"/>
  </r>
  <r>
    <s v="ORD-00204"/>
    <x v="172"/>
    <s v="CUS-CTG-005"/>
    <s v="R02"/>
    <s v="ST-CTG-04"/>
    <x v="23"/>
    <s v="P007"/>
    <n v="6"/>
    <n v="0.1"/>
    <n v="50821"/>
    <n v="8"/>
    <x v="27"/>
    <s v="Rice Cooker"/>
    <s v="Home Appliance"/>
    <n v="7430"/>
    <x v="129"/>
    <n v="5200"/>
    <n v="31200"/>
    <n v="13380"/>
    <x v="46"/>
    <x v="23"/>
    <x v="7"/>
    <x v="33"/>
  </r>
  <r>
    <s v="ORD-00205"/>
    <x v="173"/>
    <s v="CUS-DHA-023"/>
    <s v="R01"/>
    <s v="ST-DHA-04"/>
    <x v="14"/>
    <s v="P031"/>
    <n v="6"/>
    <n v="0.1"/>
    <n v="16790"/>
    <n v="1"/>
    <x v="13"/>
    <s v="Cricket Bat"/>
    <s v="Sports"/>
    <n v="2640"/>
    <x v="130"/>
    <n v="1640"/>
    <n v="9840"/>
    <n v="6000"/>
    <x v="103"/>
    <x v="14"/>
    <x v="4"/>
    <x v="35"/>
  </r>
  <r>
    <s v="ORD-00206"/>
    <x v="174"/>
    <s v="CUS-MYM-007"/>
    <s v="R08"/>
    <s v="ST-MYM-05"/>
    <x v="11"/>
    <s v="P018"/>
    <n v="4"/>
    <n v="0.03"/>
    <n v="7387"/>
    <n v="2"/>
    <x v="15"/>
    <s v="Lentil 1kg"/>
    <s v="Grocery"/>
    <n v="1710"/>
    <x v="131"/>
    <n v="1330"/>
    <n v="5320"/>
    <n v="1520"/>
    <x v="46"/>
    <x v="11"/>
    <x v="2"/>
    <x v="28"/>
  </r>
  <r>
    <s v="ORD-00207"/>
    <x v="114"/>
    <s v="CUS-SYL-003"/>
    <s v="R03"/>
    <s v="ST-SYL-05"/>
    <x v="20"/>
    <s v="P012"/>
    <n v="3"/>
    <n v="0.1"/>
    <n v="5842"/>
    <n v="6"/>
    <x v="16"/>
    <s v="Formal Shirt"/>
    <s v="Fashion"/>
    <n v="1820"/>
    <x v="20"/>
    <n v="1000"/>
    <n v="3000"/>
    <n v="2460"/>
    <x v="36"/>
    <x v="20"/>
    <x v="3"/>
    <x v="4"/>
  </r>
  <r>
    <s v="ORD-00208"/>
    <x v="175"/>
    <s v="CUS-RAN-024"/>
    <s v="R07"/>
    <s v="ST-RAN-02"/>
    <x v="7"/>
    <s v="P023"/>
    <n v="4"/>
    <n v="0.05"/>
    <n v="5336"/>
    <n v="6"/>
    <x v="4"/>
    <s v="Body Lotion"/>
    <s v="Beauty &amp; Personal Care"/>
    <n v="1160"/>
    <x v="132"/>
    <n v="670"/>
    <n v="2680"/>
    <n v="1960"/>
    <x v="104"/>
    <x v="7"/>
    <x v="0"/>
    <x v="6"/>
  </r>
  <r>
    <s v="ORD-00209"/>
    <x v="27"/>
    <s v="CUS-BAR-024"/>
    <s v="R06"/>
    <s v="ST-BAR-01"/>
    <x v="10"/>
    <s v="P048"/>
    <n v="1"/>
    <n v="0.1"/>
    <n v="5958"/>
    <n v="7"/>
    <x v="12"/>
    <s v="Shoe Rack"/>
    <s v="Furniture"/>
    <n v="5320"/>
    <x v="133"/>
    <n v="3830"/>
    <n v="3830"/>
    <n v="1490"/>
    <x v="84"/>
    <x v="10"/>
    <x v="5"/>
    <x v="9"/>
  </r>
  <r>
    <s v="ORD-00210"/>
    <x v="176"/>
    <s v="CUS-KHL-011"/>
    <s v="R05"/>
    <s v="ST-KHL-04"/>
    <x v="13"/>
    <s v="P007"/>
    <n v="3"/>
    <n v="0.08"/>
    <n v="24296"/>
    <n v="4"/>
    <x v="6"/>
    <s v="Rice Cooker"/>
    <s v="Home Appliance"/>
    <n v="7430"/>
    <x v="88"/>
    <n v="5200"/>
    <n v="15600"/>
    <n v="6690"/>
    <x v="105"/>
    <x v="13"/>
    <x v="6"/>
    <x v="19"/>
  </r>
  <r>
    <s v="ORD-00211"/>
    <x v="177"/>
    <s v="CUS-SYL-006"/>
    <s v="R03"/>
    <s v="ST-SYL-01"/>
    <x v="20"/>
    <s v="P002"/>
    <n v="1"/>
    <n v="0.18"/>
    <n v="3574"/>
    <n v="2"/>
    <x v="10"/>
    <s v="Wireless Mouse"/>
    <s v="Electronics"/>
    <n v="3340"/>
    <x v="55"/>
    <n v="2270"/>
    <n v="2270"/>
    <n v="1070"/>
    <x v="47"/>
    <x v="20"/>
    <x v="3"/>
    <x v="25"/>
  </r>
  <r>
    <s v="ORD-00212"/>
    <x v="24"/>
    <s v="CUS-MYM-017"/>
    <s v="R08"/>
    <s v="ST-MYM-05"/>
    <x v="43"/>
    <s v="P021"/>
    <n v="2"/>
    <n v="0.12"/>
    <n v="2765"/>
    <n v="3"/>
    <x v="21"/>
    <s v="Face Wash"/>
    <s v="Beauty &amp; Personal Care"/>
    <n v="1280"/>
    <x v="123"/>
    <n v="740"/>
    <n v="1480"/>
    <n v="1080"/>
    <x v="106"/>
    <x v="43"/>
    <x v="2"/>
    <x v="28"/>
  </r>
  <r>
    <s v="ORD-00213"/>
    <x v="154"/>
    <s v="CUS-CTG-001"/>
    <s v="R02"/>
    <s v="ST-CTG-02"/>
    <x v="37"/>
    <s v="P014"/>
    <n v="4"/>
    <n v="0.03"/>
    <n v="4013"/>
    <n v="3"/>
    <x v="10"/>
    <s v="Denim Jeans"/>
    <s v="Fashion"/>
    <n v="880"/>
    <x v="32"/>
    <n v="480"/>
    <n v="1920"/>
    <n v="1600"/>
    <x v="107"/>
    <x v="37"/>
    <x v="7"/>
    <x v="22"/>
  </r>
  <r>
    <s v="ORD-00214"/>
    <x v="178"/>
    <s v="CUS-RAN-012"/>
    <s v="R07"/>
    <s v="ST-RAN-01"/>
    <x v="21"/>
    <s v="P005"/>
    <n v="4"/>
    <n v="0.12"/>
    <n v="22494"/>
    <n v="8"/>
    <x v="27"/>
    <s v="USB-C Hub"/>
    <s v="Electronics"/>
    <n v="4890"/>
    <x v="41"/>
    <n v="3330"/>
    <n v="13320"/>
    <n v="6240"/>
    <x v="87"/>
    <x v="21"/>
    <x v="0"/>
    <x v="0"/>
  </r>
  <r>
    <s v="ORD-00215"/>
    <x v="179"/>
    <s v="CUS-CTG-007"/>
    <s v="R02"/>
    <s v="ST-CTG-05"/>
    <x v="41"/>
    <s v="P002"/>
    <n v="3"/>
    <n v="0.1"/>
    <n v="11423"/>
    <n v="6"/>
    <x v="16"/>
    <s v="Wireless Mouse"/>
    <s v="Electronics"/>
    <n v="3340"/>
    <x v="134"/>
    <n v="2270"/>
    <n v="6810"/>
    <n v="3210"/>
    <x v="62"/>
    <x v="41"/>
    <x v="7"/>
    <x v="31"/>
  </r>
  <r>
    <s v="ORD-00216"/>
    <x v="180"/>
    <s v="CUS-SYL-018"/>
    <s v="R03"/>
    <s v="ST-SYL-05"/>
    <x v="32"/>
    <s v="P032"/>
    <n v="3"/>
    <n v="0.1"/>
    <n v="11941"/>
    <n v="5"/>
    <x v="29"/>
    <s v="Football"/>
    <s v="Sports"/>
    <n v="3720"/>
    <x v="135"/>
    <n v="2310"/>
    <n v="6930"/>
    <n v="4230"/>
    <x v="108"/>
    <x v="32"/>
    <x v="3"/>
    <x v="4"/>
  </r>
  <r>
    <s v="ORD-00217"/>
    <x v="60"/>
    <s v="CUS-CTG-006"/>
    <s v="R02"/>
    <s v="ST-CTG-02"/>
    <x v="18"/>
    <s v="P010"/>
    <n v="5"/>
    <n v="0.18"/>
    <n v="17727"/>
    <n v="5"/>
    <x v="4"/>
    <s v="Table Fan"/>
    <s v="Home Appliance"/>
    <n v="3110"/>
    <x v="136"/>
    <n v="2180"/>
    <n v="10900"/>
    <n v="4650"/>
    <x v="96"/>
    <x v="18"/>
    <x v="7"/>
    <x v="22"/>
  </r>
  <r>
    <s v="ORD-00218"/>
    <x v="161"/>
    <s v="CUS-BAR-018"/>
    <s v="R06"/>
    <s v="ST-BAR-03"/>
    <x v="33"/>
    <s v="P010"/>
    <n v="6"/>
    <n v="0.18"/>
    <n v="20899"/>
    <n v="8"/>
    <x v="9"/>
    <s v="Table Fan"/>
    <s v="Home Appliance"/>
    <n v="3110"/>
    <x v="137"/>
    <n v="2180"/>
    <n v="13080"/>
    <n v="5580"/>
    <x v="21"/>
    <x v="33"/>
    <x v="5"/>
    <x v="27"/>
  </r>
  <r>
    <s v="ORD-00219"/>
    <x v="150"/>
    <s v="CUS-RAJ-019"/>
    <s v="R04"/>
    <s v="ST-RAJ-05"/>
    <x v="46"/>
    <s v="P009"/>
    <n v="2"/>
    <n v="0.15"/>
    <n v="9850"/>
    <n v="4"/>
    <x v="3"/>
    <s v="Steam Iron"/>
    <s v="Home Appliance"/>
    <n v="4560"/>
    <x v="138"/>
    <n v="3190"/>
    <n v="6380"/>
    <n v="2740"/>
    <x v="95"/>
    <x v="46"/>
    <x v="1"/>
    <x v="38"/>
  </r>
  <r>
    <s v="ORD-00220"/>
    <x v="14"/>
    <s v="CUS-DHA-010"/>
    <s v="R01"/>
    <s v="ST-DHA-05"/>
    <x v="44"/>
    <s v="P016"/>
    <n v="1"/>
    <n v="0.02"/>
    <n v="1177"/>
    <n v="3"/>
    <x v="10"/>
    <s v="Premium Rice 5kg"/>
    <s v="Grocery"/>
    <n v="1110"/>
    <x v="139"/>
    <n v="870"/>
    <n v="870"/>
    <n v="240"/>
    <x v="59"/>
    <x v="44"/>
    <x v="4"/>
    <x v="15"/>
  </r>
  <r>
    <s v="ORD-00221"/>
    <x v="181"/>
    <s v="CUS-RAJ-011"/>
    <s v="R04"/>
    <s v="ST-RAJ-01"/>
    <x v="30"/>
    <s v="P038"/>
    <n v="3"/>
    <n v="0.02"/>
    <n v="1102"/>
    <n v="6"/>
    <x v="4"/>
    <s v="Office File Set"/>
    <s v="Stationery"/>
    <n v="340"/>
    <x v="93"/>
    <n v="170"/>
    <n v="510"/>
    <n v="510"/>
    <x v="43"/>
    <x v="30"/>
    <x v="1"/>
    <x v="36"/>
  </r>
  <r>
    <s v="ORD-00222"/>
    <x v="40"/>
    <s v="CUS-SYL-005"/>
    <s v="R03"/>
    <s v="ST-SYL-03"/>
    <x v="38"/>
    <s v="P043"/>
    <n v="1"/>
    <n v="7.0000000000000007E-2"/>
    <n v="2354"/>
    <n v="4"/>
    <x v="20"/>
    <s v="Puzzle Board"/>
    <s v="Kids &amp; Toys"/>
    <n v="2200"/>
    <x v="23"/>
    <n v="1210"/>
    <n v="1210"/>
    <n v="990"/>
    <x v="109"/>
    <x v="38"/>
    <x v="3"/>
    <x v="23"/>
  </r>
  <r>
    <s v="ORD-00223"/>
    <x v="182"/>
    <s v="CUS-CTG-019"/>
    <s v="R02"/>
    <s v="ST-CTG-04"/>
    <x v="18"/>
    <s v="P045"/>
    <n v="5"/>
    <n v="0.05"/>
    <n v="4788"/>
    <n v="1"/>
    <x v="7"/>
    <s v="Kids Story Book"/>
    <s v="Kids &amp; Toys"/>
    <n v="840"/>
    <x v="140"/>
    <n v="460"/>
    <n v="2300"/>
    <n v="1900"/>
    <x v="110"/>
    <x v="18"/>
    <x v="7"/>
    <x v="33"/>
  </r>
  <r>
    <s v="ORD-00224"/>
    <x v="54"/>
    <s v="CUS-CTG-020"/>
    <s v="R02"/>
    <s v="ST-CTG-03"/>
    <x v="41"/>
    <s v="P031"/>
    <n v="1"/>
    <n v="0.03"/>
    <n v="3010"/>
    <n v="5"/>
    <x v="19"/>
    <s v="Cricket Bat"/>
    <s v="Sports"/>
    <n v="2640"/>
    <x v="12"/>
    <n v="1640"/>
    <n v="1640"/>
    <n v="1000"/>
    <x v="35"/>
    <x v="41"/>
    <x v="7"/>
    <x v="16"/>
  </r>
  <r>
    <s v="ORD-00225"/>
    <x v="183"/>
    <s v="CUS-BAR-012"/>
    <s v="R06"/>
    <s v="ST-BAR-04"/>
    <x v="22"/>
    <s v="P045"/>
    <n v="5"/>
    <n v="0.05"/>
    <n v="4704"/>
    <n v="5"/>
    <x v="19"/>
    <s v="Kids Story Book"/>
    <s v="Kids &amp; Toys"/>
    <n v="840"/>
    <x v="140"/>
    <n v="460"/>
    <n v="2300"/>
    <n v="1900"/>
    <x v="72"/>
    <x v="22"/>
    <x v="5"/>
    <x v="12"/>
  </r>
  <r>
    <s v="ORD-00226"/>
    <x v="184"/>
    <s v="CUS-DHA-021"/>
    <s v="R01"/>
    <s v="ST-DHA-04"/>
    <x v="44"/>
    <s v="P006"/>
    <n v="2"/>
    <n v="0.18"/>
    <n v="15264"/>
    <n v="1"/>
    <x v="15"/>
    <s v="Electric Kettle"/>
    <s v="Home Appliance"/>
    <n v="7200"/>
    <x v="86"/>
    <n v="5040"/>
    <n v="10080"/>
    <n v="4320"/>
    <x v="111"/>
    <x v="44"/>
    <x v="4"/>
    <x v="35"/>
  </r>
  <r>
    <s v="ORD-00227"/>
    <x v="185"/>
    <s v="CUS-SYL-011"/>
    <s v="R03"/>
    <s v="ST-SYL-05"/>
    <x v="25"/>
    <s v="P004"/>
    <n v="3"/>
    <n v="0.15"/>
    <n v="12423"/>
    <n v="6"/>
    <x v="28"/>
    <s v="Smart Watch"/>
    <s v="Electronics"/>
    <n v="3870"/>
    <x v="39"/>
    <n v="2630"/>
    <n v="7890"/>
    <n v="3720"/>
    <x v="47"/>
    <x v="25"/>
    <x v="3"/>
    <x v="4"/>
  </r>
  <r>
    <s v="ORD-00228"/>
    <x v="186"/>
    <s v="CUS-CTG-008"/>
    <s v="R02"/>
    <s v="ST-CTG-04"/>
    <x v="15"/>
    <s v="P035"/>
    <n v="1"/>
    <n v="0.03"/>
    <n v="1265"/>
    <n v="4"/>
    <x v="17"/>
    <s v="Dumbbell Set"/>
    <s v="Sports"/>
    <n v="1110"/>
    <x v="139"/>
    <n v="690"/>
    <n v="690"/>
    <n v="420"/>
    <x v="18"/>
    <x v="15"/>
    <x v="7"/>
    <x v="33"/>
  </r>
  <r>
    <s v="ORD-00229"/>
    <x v="187"/>
    <s v="CUS-MYM-019"/>
    <s v="R08"/>
    <s v="ST-MYM-01"/>
    <x v="31"/>
    <s v="P010"/>
    <n v="3"/>
    <n v="0.1"/>
    <n v="10076"/>
    <n v="6"/>
    <x v="16"/>
    <s v="Table Fan"/>
    <s v="Home Appliance"/>
    <n v="3110"/>
    <x v="28"/>
    <n v="2180"/>
    <n v="6540"/>
    <n v="2790"/>
    <x v="28"/>
    <x v="31"/>
    <x v="2"/>
    <x v="3"/>
  </r>
  <r>
    <s v="ORD-00230"/>
    <x v="188"/>
    <s v="CUS-RAJ-016"/>
    <s v="R04"/>
    <s v="ST-RAJ-04"/>
    <x v="30"/>
    <s v="P020"/>
    <n v="1"/>
    <n v="0.03"/>
    <n v="2311"/>
    <n v="2"/>
    <x v="15"/>
    <s v="Tea Pack 500g"/>
    <s v="Grocery"/>
    <n v="2140"/>
    <x v="141"/>
    <n v="1670"/>
    <n v="1670"/>
    <n v="470"/>
    <x v="30"/>
    <x v="30"/>
    <x v="1"/>
    <x v="1"/>
  </r>
  <r>
    <s v="ORD-00231"/>
    <x v="189"/>
    <s v="CUS-RAN-011"/>
    <s v="R07"/>
    <s v="ST-RAN-05"/>
    <x v="7"/>
    <s v="P003"/>
    <n v="2"/>
    <n v="0.12"/>
    <n v="6532"/>
    <n v="7"/>
    <x v="12"/>
    <s v="Power Bank"/>
    <s v="Electronics"/>
    <n v="2840"/>
    <x v="54"/>
    <n v="1930"/>
    <n v="3860"/>
    <n v="1820"/>
    <x v="99"/>
    <x v="7"/>
    <x v="0"/>
    <x v="39"/>
  </r>
  <r>
    <s v="ORD-00232"/>
    <x v="190"/>
    <s v="CUS-DHA-025"/>
    <s v="R01"/>
    <s v="ST-DHA-03"/>
    <x v="28"/>
    <s v="P050"/>
    <n v="4"/>
    <n v="0.03"/>
    <n v="24889"/>
    <n v="6"/>
    <x v="4"/>
    <s v="Bedside Table"/>
    <s v="Furniture"/>
    <n v="5870"/>
    <x v="142"/>
    <n v="4230"/>
    <n v="16920"/>
    <n v="6560"/>
    <x v="9"/>
    <x v="28"/>
    <x v="4"/>
    <x v="5"/>
  </r>
  <r>
    <s v="ORD-00233"/>
    <x v="187"/>
    <s v="CUS-RAJ-007"/>
    <s v="R04"/>
    <s v="ST-RAJ-03"/>
    <x v="46"/>
    <s v="P033"/>
    <n v="1"/>
    <n v="0.05"/>
    <n v="3348"/>
    <n v="8"/>
    <x v="30"/>
    <s v="Badminton Racket"/>
    <s v="Sports"/>
    <n v="3100"/>
    <x v="143"/>
    <n v="1920"/>
    <n v="1920"/>
    <n v="1180"/>
    <x v="63"/>
    <x v="46"/>
    <x v="1"/>
    <x v="18"/>
  </r>
  <r>
    <s v="ORD-00234"/>
    <x v="44"/>
    <s v="CUS-KHL-001"/>
    <s v="R05"/>
    <s v="ST-KHL-03"/>
    <x v="13"/>
    <s v="P036"/>
    <n v="2"/>
    <n v="0"/>
    <n v="872"/>
    <n v="2"/>
    <x v="1"/>
    <s v="Notebook Pack"/>
    <s v="Stationery"/>
    <n v="400"/>
    <x v="21"/>
    <n v="200"/>
    <n v="400"/>
    <n v="400"/>
    <x v="112"/>
    <x v="13"/>
    <x v="6"/>
    <x v="17"/>
  </r>
  <r>
    <s v="ORD-00235"/>
    <x v="51"/>
    <s v="CUS-BAR-007"/>
    <s v="R06"/>
    <s v="ST-BAR-05"/>
    <x v="8"/>
    <s v="P004"/>
    <n v="3"/>
    <n v="0.18"/>
    <n v="13003"/>
    <n v="5"/>
    <x v="4"/>
    <s v="Smart Watch"/>
    <s v="Electronics"/>
    <n v="3870"/>
    <x v="39"/>
    <n v="2630"/>
    <n v="7890"/>
    <n v="3720"/>
    <x v="113"/>
    <x v="8"/>
    <x v="5"/>
    <x v="7"/>
  </r>
  <r>
    <s v="ORD-00236"/>
    <x v="191"/>
    <s v="CUS-DHA-013"/>
    <s v="R01"/>
    <s v="ST-DHA-05"/>
    <x v="35"/>
    <s v="P016"/>
    <n v="1"/>
    <n v="0.03"/>
    <n v="1177"/>
    <n v="1"/>
    <x v="7"/>
    <s v="Premium Rice 5kg"/>
    <s v="Grocery"/>
    <n v="1110"/>
    <x v="139"/>
    <n v="870"/>
    <n v="870"/>
    <n v="240"/>
    <x v="6"/>
    <x v="35"/>
    <x v="4"/>
    <x v="15"/>
  </r>
  <r>
    <s v="ORD-00237"/>
    <x v="146"/>
    <s v="CUS-RAJ-023"/>
    <s v="R04"/>
    <s v="ST-RAJ-05"/>
    <x v="26"/>
    <s v="P001"/>
    <n v="1"/>
    <n v="0.12"/>
    <n v="3499"/>
    <n v="2"/>
    <x v="24"/>
    <s v="Bluetooth Speaker"/>
    <s v="Electronics"/>
    <n v="3240"/>
    <x v="40"/>
    <n v="2200"/>
    <n v="2200"/>
    <n v="1040"/>
    <x v="50"/>
    <x v="26"/>
    <x v="1"/>
    <x v="38"/>
  </r>
  <r>
    <s v="ORD-00238"/>
    <x v="192"/>
    <s v="CUS-BAR-004"/>
    <s v="R06"/>
    <s v="ST-BAR-01"/>
    <x v="33"/>
    <s v="P041"/>
    <n v="1"/>
    <n v="0.1"/>
    <n v="941"/>
    <n v="2"/>
    <x v="24"/>
    <s v="Building Blocks"/>
    <s v="Kids &amp; Toys"/>
    <n v="840"/>
    <x v="112"/>
    <n v="460"/>
    <n v="460"/>
    <n v="380"/>
    <x v="61"/>
    <x v="33"/>
    <x v="5"/>
    <x v="9"/>
  </r>
  <r>
    <s v="ORD-00239"/>
    <x v="193"/>
    <s v="CUS-CTG-011"/>
    <s v="R02"/>
    <s v="ST-CTG-04"/>
    <x v="18"/>
    <s v="P017"/>
    <n v="1"/>
    <n v="0.05"/>
    <n v="422"/>
    <n v="2"/>
    <x v="15"/>
    <s v="Soybean Oil 5L"/>
    <s v="Grocery"/>
    <n v="370"/>
    <x v="79"/>
    <n v="290"/>
    <n v="290"/>
    <n v="80"/>
    <x v="61"/>
    <x v="18"/>
    <x v="7"/>
    <x v="33"/>
  </r>
  <r>
    <s v="ORD-00240"/>
    <x v="194"/>
    <s v="CUS-DHA-008"/>
    <s v="R01"/>
    <s v="ST-DHA-05"/>
    <x v="14"/>
    <s v="P008"/>
    <n v="4"/>
    <n v="0.08"/>
    <n v="10303"/>
    <n v="3"/>
    <x v="25"/>
    <s v="Blender Machine"/>
    <s v="Home Appliance"/>
    <n v="2430"/>
    <x v="81"/>
    <n v="1700"/>
    <n v="6800"/>
    <n v="2920"/>
    <x v="66"/>
    <x v="14"/>
    <x v="4"/>
    <x v="15"/>
  </r>
  <r>
    <s v="ORD-00241"/>
    <x v="195"/>
    <s v="CUS-BAR-022"/>
    <s v="R06"/>
    <s v="ST-BAR-03"/>
    <x v="33"/>
    <s v="P024"/>
    <n v="10"/>
    <n v="0.12"/>
    <n v="15792"/>
    <n v="5"/>
    <x v="5"/>
    <s v="Toothpaste Twin Pack"/>
    <s v="Beauty &amp; Personal Care"/>
    <n v="1410"/>
    <x v="144"/>
    <n v="820"/>
    <n v="8200"/>
    <n v="5900"/>
    <x v="114"/>
    <x v="33"/>
    <x v="5"/>
    <x v="27"/>
  </r>
  <r>
    <s v="ORD-00242"/>
    <x v="196"/>
    <s v="CUS-KHL-013"/>
    <s v="R05"/>
    <s v="ST-KHL-01"/>
    <x v="29"/>
    <s v="P047"/>
    <n v="1"/>
    <n v="0.1"/>
    <n v="12731"/>
    <n v="6"/>
    <x v="16"/>
    <s v="Study Table"/>
    <s v="Furniture"/>
    <n v="11680"/>
    <x v="145"/>
    <n v="8410"/>
    <n v="8410"/>
    <n v="3270"/>
    <x v="8"/>
    <x v="29"/>
    <x v="6"/>
    <x v="24"/>
  </r>
  <r>
    <s v="ORD-00243"/>
    <x v="29"/>
    <s v="CUS-SYL-003"/>
    <s v="R03"/>
    <s v="ST-SYL-04"/>
    <x v="5"/>
    <s v="P048"/>
    <n v="2"/>
    <n v="0.12"/>
    <n v="11385"/>
    <n v="8"/>
    <x v="27"/>
    <s v="Shoe Rack"/>
    <s v="Furniture"/>
    <n v="5320"/>
    <x v="146"/>
    <n v="3830"/>
    <n v="7660"/>
    <n v="2980"/>
    <x v="36"/>
    <x v="5"/>
    <x v="3"/>
    <x v="21"/>
  </r>
  <r>
    <s v="ORD-00244"/>
    <x v="197"/>
    <s v="CUS-BAR-015"/>
    <s v="R06"/>
    <s v="ST-BAR-05"/>
    <x v="8"/>
    <s v="P004"/>
    <n v="3"/>
    <n v="0.1"/>
    <n v="13003"/>
    <n v="9"/>
    <x v="32"/>
    <s v="Smart Watch"/>
    <s v="Electronics"/>
    <n v="3870"/>
    <x v="39"/>
    <n v="2630"/>
    <n v="7890"/>
    <n v="3720"/>
    <x v="69"/>
    <x v="8"/>
    <x v="5"/>
    <x v="7"/>
  </r>
  <r>
    <s v="ORD-00245"/>
    <x v="198"/>
    <s v="CUS-SYL-010"/>
    <s v="R03"/>
    <s v="ST-SYL-05"/>
    <x v="20"/>
    <s v="P011"/>
    <n v="3"/>
    <n v="0.12"/>
    <n v="6003"/>
    <n v="4"/>
    <x v="6"/>
    <s v="Cotton T-Shirt"/>
    <s v="Fashion"/>
    <n v="1870"/>
    <x v="63"/>
    <n v="1030"/>
    <n v="3090"/>
    <n v="2520"/>
    <x v="44"/>
    <x v="20"/>
    <x v="3"/>
    <x v="4"/>
  </r>
  <r>
    <s v="ORD-00246"/>
    <x v="199"/>
    <s v="CUS-CTG-006"/>
    <s v="R02"/>
    <s v="ST-CTG-03"/>
    <x v="23"/>
    <s v="P031"/>
    <n v="6"/>
    <n v="0.1"/>
    <n v="18058"/>
    <n v="4"/>
    <x v="6"/>
    <s v="Cricket Bat"/>
    <s v="Sports"/>
    <n v="2640"/>
    <x v="130"/>
    <n v="1640"/>
    <n v="9840"/>
    <n v="6000"/>
    <x v="96"/>
    <x v="23"/>
    <x v="7"/>
    <x v="16"/>
  </r>
  <r>
    <s v="ORD-00247"/>
    <x v="200"/>
    <s v="CUS-RAN-010"/>
    <s v="R07"/>
    <s v="ST-RAN-04"/>
    <x v="0"/>
    <s v="P046"/>
    <n v="1"/>
    <n v="0.05"/>
    <n v="5037"/>
    <n v="9"/>
    <x v="9"/>
    <s v="Office Chair"/>
    <s v="Furniture"/>
    <n v="4380"/>
    <x v="147"/>
    <n v="3150"/>
    <n v="3150"/>
    <n v="1230"/>
    <x v="100"/>
    <x v="0"/>
    <x v="0"/>
    <x v="13"/>
  </r>
  <r>
    <s v="ORD-00248"/>
    <x v="135"/>
    <s v="CUS-KHL-020"/>
    <s v="R05"/>
    <s v="ST-KHL-05"/>
    <x v="29"/>
    <s v="P005"/>
    <n v="1"/>
    <n v="0.08"/>
    <n v="5330"/>
    <n v="4"/>
    <x v="6"/>
    <s v="USB-C Hub"/>
    <s v="Electronics"/>
    <n v="4890"/>
    <x v="100"/>
    <n v="3330"/>
    <n v="3330"/>
    <n v="1560"/>
    <x v="55"/>
    <x v="29"/>
    <x v="6"/>
    <x v="30"/>
  </r>
  <r>
    <s v="ORD-00249"/>
    <x v="201"/>
    <s v="CUS-BAR-003"/>
    <s v="R06"/>
    <s v="ST-BAR-04"/>
    <x v="8"/>
    <s v="P015"/>
    <n v="5"/>
    <n v="0.05"/>
    <n v="14672"/>
    <n v="6"/>
    <x v="4"/>
    <s v="Leather Belt"/>
    <s v="Fashion"/>
    <n v="2620"/>
    <x v="148"/>
    <n v="1440"/>
    <n v="7200"/>
    <n v="5900"/>
    <x v="115"/>
    <x v="8"/>
    <x v="5"/>
    <x v="12"/>
  </r>
  <r>
    <s v="ORD-00250"/>
    <x v="202"/>
    <s v="CUS-SYL-006"/>
    <s v="R03"/>
    <s v="ST-SYL-02"/>
    <x v="20"/>
    <s v="P001"/>
    <n v="6"/>
    <n v="0.15"/>
    <n v="20801"/>
    <n v="1"/>
    <x v="1"/>
    <s v="Bluetooth Speaker"/>
    <s v="Electronics"/>
    <n v="3240"/>
    <x v="82"/>
    <n v="2200"/>
    <n v="13200"/>
    <n v="6240"/>
    <x v="47"/>
    <x v="20"/>
    <x v="3"/>
    <x v="32"/>
  </r>
  <r>
    <s v="ORD-00251"/>
    <x v="203"/>
    <s v="CUS-RAJ-024"/>
    <s v="R04"/>
    <s v="ST-RAJ-02"/>
    <x v="46"/>
    <s v="P002"/>
    <n v="6"/>
    <n v="0.12"/>
    <n v="21643"/>
    <n v="7"/>
    <x v="12"/>
    <s v="Wireless Mouse"/>
    <s v="Electronics"/>
    <n v="3340"/>
    <x v="101"/>
    <n v="2270"/>
    <n v="13620"/>
    <n v="6420"/>
    <x v="116"/>
    <x v="46"/>
    <x v="1"/>
    <x v="2"/>
  </r>
  <r>
    <s v="ORD-00252"/>
    <x v="204"/>
    <s v="CUS-RAN-013"/>
    <s v="R07"/>
    <s v="ST-RAN-01"/>
    <x v="21"/>
    <s v="P031"/>
    <n v="4"/>
    <n v="0.1"/>
    <n v="12144"/>
    <n v="3"/>
    <x v="21"/>
    <s v="Cricket Bat"/>
    <s v="Sports"/>
    <n v="2640"/>
    <x v="22"/>
    <n v="1640"/>
    <n v="6560"/>
    <n v="4000"/>
    <x v="41"/>
    <x v="21"/>
    <x v="0"/>
    <x v="0"/>
  </r>
  <r>
    <s v="ORD-00253"/>
    <x v="143"/>
    <s v="CUS-DHA-017"/>
    <s v="R01"/>
    <s v="ST-DHA-01"/>
    <x v="6"/>
    <s v="P012"/>
    <n v="5"/>
    <n v="0.05"/>
    <n v="9646"/>
    <n v="1"/>
    <x v="7"/>
    <s v="Formal Shirt"/>
    <s v="Fashion"/>
    <n v="1820"/>
    <x v="149"/>
    <n v="1000"/>
    <n v="5000"/>
    <n v="4100"/>
    <x v="68"/>
    <x v="6"/>
    <x v="4"/>
    <x v="29"/>
  </r>
  <r>
    <s v="ORD-00254"/>
    <x v="24"/>
    <s v="CUS-DHA-018"/>
    <s v="R01"/>
    <s v="ST-DHA-04"/>
    <x v="9"/>
    <s v="P034"/>
    <n v="1"/>
    <n v="0.1"/>
    <n v="2894"/>
    <n v="2"/>
    <x v="24"/>
    <s v="Yoga Mat"/>
    <s v="Sports"/>
    <n v="2730"/>
    <x v="128"/>
    <n v="1690"/>
    <n v="1690"/>
    <n v="1040"/>
    <x v="45"/>
    <x v="9"/>
    <x v="4"/>
    <x v="35"/>
  </r>
  <r>
    <s v="ORD-00255"/>
    <x v="138"/>
    <s v="CUS-RAN-010"/>
    <s v="R07"/>
    <s v="ST-RAN-03"/>
    <x v="4"/>
    <s v="P003"/>
    <n v="3"/>
    <n v="0.08"/>
    <n v="9798"/>
    <n v="5"/>
    <x v="29"/>
    <s v="Power Bank"/>
    <s v="Electronics"/>
    <n v="2840"/>
    <x v="3"/>
    <n v="1930"/>
    <n v="5790"/>
    <n v="2730"/>
    <x v="100"/>
    <x v="4"/>
    <x v="0"/>
    <x v="26"/>
  </r>
  <r>
    <s v="ORD-00256"/>
    <x v="205"/>
    <s v="CUS-MYM-021"/>
    <s v="R08"/>
    <s v="ST-MYM-04"/>
    <x v="17"/>
    <s v="P031"/>
    <n v="3"/>
    <n v="0.12"/>
    <n v="8554"/>
    <n v="1"/>
    <x v="1"/>
    <s v="Cricket Bat"/>
    <s v="Sports"/>
    <n v="2640"/>
    <x v="150"/>
    <n v="1640"/>
    <n v="4920"/>
    <n v="3000"/>
    <x v="80"/>
    <x v="17"/>
    <x v="2"/>
    <x v="34"/>
  </r>
  <r>
    <s v="ORD-00257"/>
    <x v="206"/>
    <s v="CUS-SYL-013"/>
    <s v="R03"/>
    <s v="ST-SYL-04"/>
    <x v="38"/>
    <s v="P012"/>
    <n v="2"/>
    <n v="0.05"/>
    <n v="3895"/>
    <n v="4"/>
    <x v="20"/>
    <s v="Formal Shirt"/>
    <s v="Fashion"/>
    <n v="1820"/>
    <x v="48"/>
    <n v="1000"/>
    <n v="2000"/>
    <n v="1640"/>
    <x v="89"/>
    <x v="38"/>
    <x v="3"/>
    <x v="21"/>
  </r>
  <r>
    <s v="ORD-00258"/>
    <x v="171"/>
    <s v="CUS-BAR-023"/>
    <s v="R06"/>
    <s v="ST-BAR-02"/>
    <x v="10"/>
    <s v="P031"/>
    <n v="2"/>
    <n v="7.0000000000000007E-2"/>
    <n v="5914"/>
    <n v="4"/>
    <x v="20"/>
    <s v="Cricket Bat"/>
    <s v="Sports"/>
    <n v="2640"/>
    <x v="151"/>
    <n v="1640"/>
    <n v="3280"/>
    <n v="2000"/>
    <x v="14"/>
    <x v="10"/>
    <x v="5"/>
    <x v="11"/>
  </r>
  <r>
    <s v="ORD-00259"/>
    <x v="181"/>
    <s v="CUS-CTG-017"/>
    <s v="R02"/>
    <s v="ST-CTG-04"/>
    <x v="37"/>
    <s v="P035"/>
    <n v="3"/>
    <n v="0.05"/>
    <n v="3796"/>
    <n v="4"/>
    <x v="20"/>
    <s v="Dumbbell Set"/>
    <s v="Sports"/>
    <n v="1110"/>
    <x v="89"/>
    <n v="690"/>
    <n v="2070"/>
    <n v="1260"/>
    <x v="1"/>
    <x v="37"/>
    <x v="7"/>
    <x v="33"/>
  </r>
  <r>
    <s v="ORD-00260"/>
    <x v="207"/>
    <s v="CUS-SYL-011"/>
    <s v="R03"/>
    <s v="ST-SYL-05"/>
    <x v="25"/>
    <s v="P041"/>
    <n v="5"/>
    <n v="0.05"/>
    <n v="4494"/>
    <n v="4"/>
    <x v="20"/>
    <s v="Building Blocks"/>
    <s v="Kids &amp; Toys"/>
    <n v="840"/>
    <x v="140"/>
    <n v="460"/>
    <n v="2300"/>
    <n v="1900"/>
    <x v="47"/>
    <x v="25"/>
    <x v="3"/>
    <x v="4"/>
  </r>
  <r>
    <s v="ORD-00261"/>
    <x v="208"/>
    <s v="CUS-DHA-014"/>
    <s v="R01"/>
    <s v="ST-DHA-03"/>
    <x v="14"/>
    <s v="P031"/>
    <n v="2"/>
    <n v="0.03"/>
    <n v="5597"/>
    <n v="6"/>
    <x v="4"/>
    <s v="Cricket Bat"/>
    <s v="Sports"/>
    <n v="2640"/>
    <x v="151"/>
    <n v="1640"/>
    <n v="3280"/>
    <n v="2000"/>
    <x v="23"/>
    <x v="14"/>
    <x v="4"/>
    <x v="5"/>
  </r>
  <r>
    <s v="ORD-00262"/>
    <x v="209"/>
    <s v="CUS-DHA-020"/>
    <s v="R01"/>
    <s v="ST-DHA-03"/>
    <x v="44"/>
    <s v="P012"/>
    <n v="3"/>
    <n v="0.03"/>
    <n v="5788"/>
    <n v="1"/>
    <x v="7"/>
    <s v="Formal Shirt"/>
    <s v="Fashion"/>
    <n v="1820"/>
    <x v="20"/>
    <n v="1000"/>
    <n v="3000"/>
    <n v="2460"/>
    <x v="53"/>
    <x v="44"/>
    <x v="4"/>
    <x v="5"/>
  </r>
  <r>
    <s v="ORD-00263"/>
    <x v="210"/>
    <s v="CUS-MYM-008"/>
    <s v="R08"/>
    <s v="ST-MYM-02"/>
    <x v="31"/>
    <s v="P026"/>
    <n v="2"/>
    <n v="0.12"/>
    <n v="7582"/>
    <n v="3"/>
    <x v="21"/>
    <s v="Running Shoe"/>
    <s v="Footwear"/>
    <n v="3510"/>
    <x v="66"/>
    <n v="2110"/>
    <n v="4220"/>
    <n v="2800"/>
    <x v="117"/>
    <x v="31"/>
    <x v="2"/>
    <x v="20"/>
  </r>
  <r>
    <s v="ORD-00264"/>
    <x v="186"/>
    <s v="CUS-KHL-020"/>
    <s v="R05"/>
    <s v="ST-KHL-05"/>
    <x v="36"/>
    <s v="P001"/>
    <n v="1"/>
    <n v="0.12"/>
    <n v="3532"/>
    <n v="2"/>
    <x v="24"/>
    <s v="Bluetooth Speaker"/>
    <s v="Electronics"/>
    <n v="3240"/>
    <x v="40"/>
    <n v="2200"/>
    <n v="2200"/>
    <n v="1040"/>
    <x v="55"/>
    <x v="36"/>
    <x v="6"/>
    <x v="30"/>
  </r>
  <r>
    <s v="ORD-00265"/>
    <x v="47"/>
    <s v="CUS-DHA-005"/>
    <s v="R01"/>
    <s v="ST-DHA-01"/>
    <x v="35"/>
    <s v="P020"/>
    <n v="2"/>
    <n v="0"/>
    <n v="4537"/>
    <n v="4"/>
    <x v="17"/>
    <s v="Tea Pack 500g"/>
    <s v="Grocery"/>
    <n v="2140"/>
    <x v="152"/>
    <n v="1670"/>
    <n v="3340"/>
    <n v="940"/>
    <x v="43"/>
    <x v="35"/>
    <x v="4"/>
    <x v="29"/>
  </r>
  <r>
    <s v="ORD-00266"/>
    <x v="13"/>
    <s v="CUS-SYL-006"/>
    <s v="R03"/>
    <s v="ST-SYL-03"/>
    <x v="5"/>
    <s v="P026"/>
    <n v="8"/>
    <n v="0.12"/>
    <n v="30046"/>
    <n v="4"/>
    <x v="6"/>
    <s v="Running Shoe"/>
    <s v="Footwear"/>
    <n v="3510"/>
    <x v="153"/>
    <n v="2110"/>
    <n v="16880"/>
    <n v="11200"/>
    <x v="47"/>
    <x v="5"/>
    <x v="3"/>
    <x v="23"/>
  </r>
  <r>
    <s v="ORD-00267"/>
    <x v="211"/>
    <s v="CUS-BAR-002"/>
    <s v="R06"/>
    <s v="ST-BAR-01"/>
    <x v="33"/>
    <s v="P007"/>
    <n v="5"/>
    <n v="0.15"/>
    <n v="41608"/>
    <n v="7"/>
    <x v="23"/>
    <s v="Rice Cooker"/>
    <s v="Home Appliance"/>
    <n v="7430"/>
    <x v="154"/>
    <n v="5200"/>
    <n v="26000"/>
    <n v="11150"/>
    <x v="63"/>
    <x v="33"/>
    <x v="5"/>
    <x v="9"/>
  </r>
  <r>
    <s v="ORD-00268"/>
    <x v="212"/>
    <s v="CUS-MYM-005"/>
    <s v="R08"/>
    <s v="ST-MYM-01"/>
    <x v="43"/>
    <s v="P040"/>
    <n v="5"/>
    <n v="0.02"/>
    <n v="4104"/>
    <n v="3"/>
    <x v="10"/>
    <s v="Sticky Notes"/>
    <s v="Stationery"/>
    <n v="760"/>
    <x v="155"/>
    <n v="380"/>
    <n v="1900"/>
    <n v="1900"/>
    <x v="3"/>
    <x v="43"/>
    <x v="2"/>
    <x v="3"/>
  </r>
  <r>
    <s v="ORD-00269"/>
    <x v="25"/>
    <s v="CUS-RAJ-020"/>
    <s v="R04"/>
    <s v="ST-RAJ-01"/>
    <x v="1"/>
    <s v="P020"/>
    <n v="4"/>
    <n v="0.03"/>
    <n v="9245"/>
    <n v="1"/>
    <x v="7"/>
    <s v="Tea Pack 500g"/>
    <s v="Grocery"/>
    <n v="2140"/>
    <x v="156"/>
    <n v="1670"/>
    <n v="6680"/>
    <n v="1880"/>
    <x v="118"/>
    <x v="1"/>
    <x v="1"/>
    <x v="36"/>
  </r>
  <r>
    <s v="ORD-00270"/>
    <x v="213"/>
    <s v="CUS-KHL-017"/>
    <s v="R05"/>
    <s v="ST-KHL-05"/>
    <x v="29"/>
    <s v="P008"/>
    <n v="3"/>
    <n v="0.15"/>
    <n v="7946"/>
    <n v="7"/>
    <x v="23"/>
    <s v="Blender Machine"/>
    <s v="Home Appliance"/>
    <n v="2430"/>
    <x v="49"/>
    <n v="1700"/>
    <n v="5100"/>
    <n v="2190"/>
    <x v="119"/>
    <x v="29"/>
    <x v="6"/>
    <x v="30"/>
  </r>
  <r>
    <s v="ORD-00271"/>
    <x v="111"/>
    <s v="CUS-MYM-016"/>
    <s v="R08"/>
    <s v="ST-MYM-02"/>
    <x v="31"/>
    <s v="P005"/>
    <n v="8"/>
    <n v="0.08"/>
    <n v="42250"/>
    <n v="5"/>
    <x v="29"/>
    <s v="USB-C Hub"/>
    <s v="Electronics"/>
    <n v="4890"/>
    <x v="157"/>
    <n v="3330"/>
    <n v="26640"/>
    <n v="12480"/>
    <x v="61"/>
    <x v="31"/>
    <x v="2"/>
    <x v="20"/>
  </r>
  <r>
    <s v="ORD-00272"/>
    <x v="189"/>
    <s v="CUS-CTG-024"/>
    <s v="R02"/>
    <s v="ST-CTG-02"/>
    <x v="18"/>
    <s v="P050"/>
    <n v="1"/>
    <n v="7.0000000000000007E-2"/>
    <n v="6692"/>
    <n v="8"/>
    <x v="30"/>
    <s v="Bedside Table"/>
    <s v="Furniture"/>
    <n v="5870"/>
    <x v="158"/>
    <n v="4230"/>
    <n v="4230"/>
    <n v="1640"/>
    <x v="48"/>
    <x v="18"/>
    <x v="7"/>
    <x v="22"/>
  </r>
  <r>
    <s v="ORD-00273"/>
    <x v="19"/>
    <s v="CUS-RAJ-001"/>
    <s v="R04"/>
    <s v="ST-RAJ-02"/>
    <x v="30"/>
    <s v="P006"/>
    <n v="4"/>
    <n v="0.18"/>
    <n v="31104"/>
    <n v="6"/>
    <x v="11"/>
    <s v="Electric Kettle"/>
    <s v="Home Appliance"/>
    <n v="7200"/>
    <x v="113"/>
    <n v="5040"/>
    <n v="20160"/>
    <n v="8640"/>
    <x v="102"/>
    <x v="30"/>
    <x v="1"/>
    <x v="2"/>
  </r>
  <r>
    <s v="ORD-00274"/>
    <x v="71"/>
    <s v="CUS-BAR-011"/>
    <s v="R06"/>
    <s v="ST-BAR-04"/>
    <x v="10"/>
    <s v="P019"/>
    <n v="5"/>
    <n v="0.02"/>
    <n v="2464"/>
    <n v="5"/>
    <x v="3"/>
    <s v="Flour 2kg"/>
    <s v="Grocery"/>
    <n v="440"/>
    <x v="23"/>
    <n v="340"/>
    <n v="1700"/>
    <n v="500"/>
    <x v="39"/>
    <x v="10"/>
    <x v="5"/>
    <x v="12"/>
  </r>
  <r>
    <s v="ORD-00275"/>
    <x v="160"/>
    <s v="CUS-BAR-011"/>
    <s v="R06"/>
    <s v="ST-BAR-04"/>
    <x v="22"/>
    <s v="P036"/>
    <n v="2"/>
    <n v="0.05"/>
    <n v="896"/>
    <n v="7"/>
    <x v="11"/>
    <s v="Notebook Pack"/>
    <s v="Stationery"/>
    <n v="400"/>
    <x v="21"/>
    <n v="200"/>
    <n v="400"/>
    <n v="400"/>
    <x v="39"/>
    <x v="22"/>
    <x v="5"/>
    <x v="12"/>
  </r>
  <r>
    <s v="ORD-00276"/>
    <x v="214"/>
    <s v="CUS-BAR-015"/>
    <s v="R06"/>
    <s v="ST-BAR-04"/>
    <x v="10"/>
    <s v="P002"/>
    <n v="3"/>
    <n v="0.12"/>
    <n v="11222"/>
    <n v="4"/>
    <x v="6"/>
    <s v="Wireless Mouse"/>
    <s v="Electronics"/>
    <n v="3340"/>
    <x v="134"/>
    <n v="2270"/>
    <n v="6810"/>
    <n v="3210"/>
    <x v="69"/>
    <x v="10"/>
    <x v="5"/>
    <x v="12"/>
  </r>
  <r>
    <s v="ORD-00277"/>
    <x v="215"/>
    <s v="CUS-DHA-007"/>
    <s v="R01"/>
    <s v="ST-DHA-05"/>
    <x v="35"/>
    <s v="P007"/>
    <n v="1"/>
    <n v="0.12"/>
    <n v="7876"/>
    <n v="5"/>
    <x v="5"/>
    <s v="Rice Cooker"/>
    <s v="Home Appliance"/>
    <n v="7430"/>
    <x v="8"/>
    <n v="5200"/>
    <n v="5200"/>
    <n v="2230"/>
    <x v="3"/>
    <x v="35"/>
    <x v="4"/>
    <x v="15"/>
  </r>
  <r>
    <s v="ORD-00278"/>
    <x v="216"/>
    <s v="CUS-RAN-021"/>
    <s v="R07"/>
    <s v="ST-RAN-05"/>
    <x v="27"/>
    <s v="P020"/>
    <n v="1"/>
    <n v="0"/>
    <n v="2461"/>
    <n v="5"/>
    <x v="3"/>
    <s v="Tea Pack 500g"/>
    <s v="Grocery"/>
    <n v="2140"/>
    <x v="141"/>
    <n v="1670"/>
    <n v="1670"/>
    <n v="470"/>
    <x v="15"/>
    <x v="27"/>
    <x v="0"/>
    <x v="39"/>
  </r>
  <r>
    <s v="ORD-00279"/>
    <x v="189"/>
    <s v="CUS-KHL-023"/>
    <s v="R05"/>
    <s v="ST-KHL-03"/>
    <x v="13"/>
    <s v="P001"/>
    <n v="1"/>
    <n v="0.1"/>
    <n v="3532"/>
    <n v="1"/>
    <x v="13"/>
    <s v="Bluetooth Speaker"/>
    <s v="Electronics"/>
    <n v="3240"/>
    <x v="40"/>
    <n v="2200"/>
    <n v="2200"/>
    <n v="1040"/>
    <x v="69"/>
    <x v="13"/>
    <x v="6"/>
    <x v="17"/>
  </r>
  <r>
    <s v="ORD-00280"/>
    <x v="217"/>
    <s v="CUS-KHL-007"/>
    <s v="R05"/>
    <s v="ST-KHL-05"/>
    <x v="16"/>
    <s v="P004"/>
    <n v="4"/>
    <n v="0.1"/>
    <n v="16873"/>
    <n v="5"/>
    <x v="29"/>
    <s v="Smart Watch"/>
    <s v="Electronics"/>
    <n v="3870"/>
    <x v="68"/>
    <n v="2630"/>
    <n v="10520"/>
    <n v="4960"/>
    <x v="79"/>
    <x v="16"/>
    <x v="6"/>
    <x v="30"/>
  </r>
  <r>
    <s v="ORD-00281"/>
    <x v="218"/>
    <s v="CUS-CTG-015"/>
    <s v="R02"/>
    <s v="ST-CTG-05"/>
    <x v="41"/>
    <s v="P036"/>
    <n v="1"/>
    <n v="0.03"/>
    <n v="456"/>
    <n v="8"/>
    <x v="23"/>
    <s v="Notebook Pack"/>
    <s v="Stationery"/>
    <n v="400"/>
    <x v="1"/>
    <n v="200"/>
    <n v="200"/>
    <n v="200"/>
    <x v="97"/>
    <x v="41"/>
    <x v="7"/>
    <x v="31"/>
  </r>
  <r>
    <s v="ORD-00282"/>
    <x v="126"/>
    <s v="CUS-KHL-025"/>
    <s v="R05"/>
    <s v="ST-KHL-03"/>
    <x v="36"/>
    <s v="P034"/>
    <n v="7"/>
    <n v="0.05"/>
    <n v="20830"/>
    <n v="2"/>
    <x v="15"/>
    <s v="Yoga Mat"/>
    <s v="Sports"/>
    <n v="2730"/>
    <x v="120"/>
    <n v="1690"/>
    <n v="11830"/>
    <n v="7280"/>
    <x v="81"/>
    <x v="36"/>
    <x v="6"/>
    <x v="17"/>
  </r>
  <r>
    <s v="ORD-00283"/>
    <x v="26"/>
    <s v="CUS-RAJ-024"/>
    <s v="R04"/>
    <s v="ST-RAJ-01"/>
    <x v="2"/>
    <s v="P009"/>
    <n v="1"/>
    <n v="0.18"/>
    <n v="4925"/>
    <n v="7"/>
    <x v="23"/>
    <s v="Steam Iron"/>
    <s v="Home Appliance"/>
    <n v="4560"/>
    <x v="115"/>
    <n v="3190"/>
    <n v="3190"/>
    <n v="1370"/>
    <x v="116"/>
    <x v="2"/>
    <x v="1"/>
    <x v="36"/>
  </r>
  <r>
    <s v="ORD-00284"/>
    <x v="219"/>
    <s v="CUS-DHA-004"/>
    <s v="R01"/>
    <s v="ST-DHA-05"/>
    <x v="35"/>
    <s v="P032"/>
    <n v="3"/>
    <n v="7.0000000000000007E-2"/>
    <n v="11830"/>
    <n v="1"/>
    <x v="13"/>
    <s v="Football"/>
    <s v="Sports"/>
    <n v="3720"/>
    <x v="135"/>
    <n v="2310"/>
    <n v="6930"/>
    <n v="4230"/>
    <x v="120"/>
    <x v="35"/>
    <x v="4"/>
    <x v="15"/>
  </r>
  <r>
    <s v="ORD-00285"/>
    <x v="199"/>
    <s v="CUS-RAJ-011"/>
    <s v="R04"/>
    <s v="ST-RAJ-02"/>
    <x v="46"/>
    <s v="P006"/>
    <n v="4"/>
    <n v="0.08"/>
    <n v="31104"/>
    <n v="6"/>
    <x v="16"/>
    <s v="Electric Kettle"/>
    <s v="Home Appliance"/>
    <n v="7200"/>
    <x v="113"/>
    <n v="5040"/>
    <n v="20160"/>
    <n v="8640"/>
    <x v="43"/>
    <x v="46"/>
    <x v="1"/>
    <x v="2"/>
  </r>
  <r>
    <s v="ORD-00286"/>
    <x v="220"/>
    <s v="CUS-CTG-001"/>
    <s v="R02"/>
    <s v="ST-CTG-05"/>
    <x v="18"/>
    <s v="P016"/>
    <n v="3"/>
    <n v="0.03"/>
    <n v="3796"/>
    <n v="6"/>
    <x v="4"/>
    <s v="Premium Rice 5kg"/>
    <s v="Grocery"/>
    <n v="1110"/>
    <x v="89"/>
    <n v="870"/>
    <n v="2610"/>
    <n v="720"/>
    <x v="107"/>
    <x v="18"/>
    <x v="7"/>
    <x v="31"/>
  </r>
  <r>
    <s v="ORD-00287"/>
    <x v="221"/>
    <s v="CUS-KHL-005"/>
    <s v="R05"/>
    <s v="ST-KHL-03"/>
    <x v="29"/>
    <s v="P005"/>
    <n v="3"/>
    <n v="0.18"/>
    <n v="15990"/>
    <n v="2"/>
    <x v="10"/>
    <s v="USB-C Hub"/>
    <s v="Electronics"/>
    <n v="4890"/>
    <x v="27"/>
    <n v="3330"/>
    <n v="9990"/>
    <n v="4680"/>
    <x v="16"/>
    <x v="29"/>
    <x v="6"/>
    <x v="17"/>
  </r>
  <r>
    <s v="ORD-00288"/>
    <x v="222"/>
    <s v="CUS-MYM-022"/>
    <s v="R08"/>
    <s v="ST-MYM-01"/>
    <x v="17"/>
    <s v="P009"/>
    <n v="2"/>
    <n v="0.18"/>
    <n v="9850"/>
    <n v="6"/>
    <x v="11"/>
    <s v="Steam Iron"/>
    <s v="Home Appliance"/>
    <n v="4560"/>
    <x v="138"/>
    <n v="3190"/>
    <n v="6380"/>
    <n v="2740"/>
    <x v="25"/>
    <x v="17"/>
    <x v="2"/>
    <x v="3"/>
  </r>
  <r>
    <s v="ORD-00289"/>
    <x v="223"/>
    <s v="CUS-MYM-020"/>
    <s v="R08"/>
    <s v="ST-MYM-03"/>
    <x v="3"/>
    <s v="P007"/>
    <n v="4"/>
    <n v="0.18"/>
    <n v="32098"/>
    <n v="10"/>
    <x v="31"/>
    <s v="Rice Cooker"/>
    <s v="Home Appliance"/>
    <n v="7430"/>
    <x v="122"/>
    <n v="5200"/>
    <n v="20800"/>
    <n v="8920"/>
    <x v="86"/>
    <x v="3"/>
    <x v="2"/>
    <x v="10"/>
  </r>
  <r>
    <s v="ORD-00290"/>
    <x v="224"/>
    <s v="CUS-MYM-019"/>
    <s v="R08"/>
    <s v="ST-MYM-02"/>
    <x v="17"/>
    <s v="P037"/>
    <n v="2"/>
    <n v="0.05"/>
    <n v="734"/>
    <n v="6"/>
    <x v="4"/>
    <s v="Ball Pen Box"/>
    <s v="Stationery"/>
    <n v="340"/>
    <x v="159"/>
    <n v="170"/>
    <n v="340"/>
    <n v="340"/>
    <x v="28"/>
    <x v="17"/>
    <x v="2"/>
    <x v="20"/>
  </r>
  <r>
    <s v="ORD-00291"/>
    <x v="51"/>
    <s v="CUS-MYM-008"/>
    <s v="R08"/>
    <s v="ST-MYM-02"/>
    <x v="11"/>
    <s v="P040"/>
    <n v="6"/>
    <n v="0.05"/>
    <n v="4925"/>
    <n v="6"/>
    <x v="4"/>
    <s v="Sticky Notes"/>
    <s v="Stationery"/>
    <n v="760"/>
    <x v="115"/>
    <n v="380"/>
    <n v="2280"/>
    <n v="2280"/>
    <x v="117"/>
    <x v="11"/>
    <x v="2"/>
    <x v="20"/>
  </r>
  <r>
    <s v="ORD-00292"/>
    <x v="97"/>
    <s v="CUS-BAR-011"/>
    <s v="R06"/>
    <s v="ST-BAR-04"/>
    <x v="22"/>
    <s v="P001"/>
    <n v="1"/>
    <n v="0.15"/>
    <n v="3629"/>
    <n v="9"/>
    <x v="0"/>
    <s v="Bluetooth Speaker"/>
    <s v="Electronics"/>
    <n v="3240"/>
    <x v="40"/>
    <n v="2200"/>
    <n v="2200"/>
    <n v="1040"/>
    <x v="39"/>
    <x v="22"/>
    <x v="5"/>
    <x v="12"/>
  </r>
  <r>
    <s v="ORD-00293"/>
    <x v="225"/>
    <s v="CUS-MYM-006"/>
    <s v="R08"/>
    <s v="ST-MYM-03"/>
    <x v="3"/>
    <s v="P022"/>
    <n v="3"/>
    <n v="0.1"/>
    <n v="5378"/>
    <n v="5"/>
    <x v="29"/>
    <s v="Shampoo 375ml"/>
    <s v="Beauty &amp; Personal Care"/>
    <n v="1660"/>
    <x v="71"/>
    <n v="960"/>
    <n v="2880"/>
    <n v="2100"/>
    <x v="60"/>
    <x v="3"/>
    <x v="2"/>
    <x v="10"/>
  </r>
  <r>
    <s v="ORD-00294"/>
    <x v="133"/>
    <s v="CUS-BAR-018"/>
    <s v="R06"/>
    <s v="ST-BAR-01"/>
    <x v="33"/>
    <s v="P017"/>
    <n v="3"/>
    <n v="0.02"/>
    <n v="1243"/>
    <n v="2"/>
    <x v="15"/>
    <s v="Soybean Oil 5L"/>
    <s v="Grocery"/>
    <n v="370"/>
    <x v="139"/>
    <n v="290"/>
    <n v="870"/>
    <n v="240"/>
    <x v="21"/>
    <x v="33"/>
    <x v="5"/>
    <x v="9"/>
  </r>
  <r>
    <s v="ORD-00295"/>
    <x v="226"/>
    <s v="CUS-RAJ-018"/>
    <s v="R04"/>
    <s v="ST-RAJ-02"/>
    <x v="2"/>
    <s v="P009"/>
    <n v="3"/>
    <n v="0.18"/>
    <n v="14774"/>
    <n v="1"/>
    <x v="15"/>
    <s v="Steam Iron"/>
    <s v="Home Appliance"/>
    <n v="4560"/>
    <x v="6"/>
    <n v="3190"/>
    <n v="9570"/>
    <n v="4110"/>
    <x v="64"/>
    <x v="2"/>
    <x v="1"/>
    <x v="2"/>
  </r>
  <r>
    <s v="ORD-00296"/>
    <x v="182"/>
    <s v="CUS-BAR-018"/>
    <s v="R06"/>
    <s v="ST-BAR-02"/>
    <x v="8"/>
    <s v="P026"/>
    <n v="6"/>
    <n v="0.12"/>
    <n v="23587"/>
    <n v="7"/>
    <x v="12"/>
    <s v="Running Shoe"/>
    <s v="Footwear"/>
    <n v="3510"/>
    <x v="160"/>
    <n v="2110"/>
    <n v="12660"/>
    <n v="8400"/>
    <x v="21"/>
    <x v="8"/>
    <x v="5"/>
    <x v="11"/>
  </r>
  <r>
    <s v="ORD-00297"/>
    <x v="227"/>
    <s v="CUS-MYM-004"/>
    <s v="R08"/>
    <s v="ST-MYM-05"/>
    <x v="31"/>
    <s v="P012"/>
    <n v="5"/>
    <n v="7.0000000000000007E-2"/>
    <n v="9828"/>
    <n v="5"/>
    <x v="29"/>
    <s v="Formal Shirt"/>
    <s v="Fashion"/>
    <n v="1820"/>
    <x v="149"/>
    <n v="1000"/>
    <n v="5000"/>
    <n v="4100"/>
    <x v="92"/>
    <x v="31"/>
    <x v="2"/>
    <x v="28"/>
  </r>
  <r>
    <s v="ORD-00298"/>
    <x v="228"/>
    <s v="CUS-CTG-022"/>
    <s v="R02"/>
    <s v="ST-CTG-05"/>
    <x v="39"/>
    <s v="P007"/>
    <n v="1"/>
    <n v="0.18"/>
    <n v="8470"/>
    <n v="7"/>
    <x v="23"/>
    <s v="Rice Cooker"/>
    <s v="Home Appliance"/>
    <n v="7430"/>
    <x v="8"/>
    <n v="5200"/>
    <n v="5200"/>
    <n v="2230"/>
    <x v="74"/>
    <x v="39"/>
    <x v="7"/>
    <x v="31"/>
  </r>
  <r>
    <s v="ORD-00299"/>
    <x v="80"/>
    <s v="CUS-DHA-025"/>
    <s v="R01"/>
    <s v="ST-DHA-02"/>
    <x v="35"/>
    <s v="P003"/>
    <n v="2"/>
    <n v="0.18"/>
    <n v="6021"/>
    <n v="1"/>
    <x v="15"/>
    <s v="Power Bank"/>
    <s v="Electronics"/>
    <n v="2840"/>
    <x v="54"/>
    <n v="1930"/>
    <n v="3860"/>
    <n v="1820"/>
    <x v="9"/>
    <x v="35"/>
    <x v="4"/>
    <x v="8"/>
  </r>
  <r>
    <s v="ORD-00300"/>
    <x v="102"/>
    <s v="CUS-BAR-010"/>
    <s v="R06"/>
    <s v="ST-BAR-05"/>
    <x v="10"/>
    <s v="P006"/>
    <n v="5"/>
    <n v="0.08"/>
    <n v="40320"/>
    <n v="7"/>
    <x v="2"/>
    <s v="Electric Kettle"/>
    <s v="Home Appliance"/>
    <n v="7200"/>
    <x v="45"/>
    <n v="5040"/>
    <n v="25200"/>
    <n v="10800"/>
    <x v="63"/>
    <x v="10"/>
    <x v="5"/>
    <x v="7"/>
  </r>
  <r>
    <s v="ORD-00301"/>
    <x v="138"/>
    <s v="CUS-DHA-020"/>
    <s v="R01"/>
    <s v="ST-DHA-05"/>
    <x v="6"/>
    <s v="P040"/>
    <n v="1"/>
    <n v="0"/>
    <n v="806"/>
    <n v="4"/>
    <x v="17"/>
    <s v="Sticky Notes"/>
    <s v="Stationery"/>
    <n v="760"/>
    <x v="161"/>
    <n v="380"/>
    <n v="380"/>
    <n v="380"/>
    <x v="53"/>
    <x v="6"/>
    <x v="4"/>
    <x v="15"/>
  </r>
  <r>
    <s v="ORD-00302"/>
    <x v="229"/>
    <s v="CUS-BAR-004"/>
    <s v="R06"/>
    <s v="ST-BAR-03"/>
    <x v="47"/>
    <s v="P005"/>
    <n v="3"/>
    <n v="0.15"/>
    <n v="16430"/>
    <n v="5"/>
    <x v="5"/>
    <s v="USB-C Hub"/>
    <s v="Electronics"/>
    <n v="4890"/>
    <x v="27"/>
    <n v="3330"/>
    <n v="9990"/>
    <n v="4680"/>
    <x v="61"/>
    <x v="47"/>
    <x v="5"/>
    <x v="27"/>
  </r>
  <r>
    <s v="ORD-00303"/>
    <x v="230"/>
    <s v="CUS-RAN-013"/>
    <s v="R07"/>
    <s v="ST-RAN-04"/>
    <x v="21"/>
    <s v="P004"/>
    <n v="2"/>
    <n v="0.1"/>
    <n v="8901"/>
    <n v="3"/>
    <x v="21"/>
    <s v="Smart Watch"/>
    <s v="Electronics"/>
    <n v="3870"/>
    <x v="118"/>
    <n v="2630"/>
    <n v="5260"/>
    <n v="2480"/>
    <x v="41"/>
    <x v="21"/>
    <x v="0"/>
    <x v="13"/>
  </r>
  <r>
    <s v="ORD-00304"/>
    <x v="231"/>
    <s v="CUS-BAR-014"/>
    <s v="R06"/>
    <s v="ST-BAR-02"/>
    <x v="33"/>
    <s v="P050"/>
    <n v="1"/>
    <n v="0.03"/>
    <n v="6574"/>
    <n v="6"/>
    <x v="4"/>
    <s v="Bedside Table"/>
    <s v="Furniture"/>
    <n v="5870"/>
    <x v="158"/>
    <n v="4230"/>
    <n v="4230"/>
    <n v="1640"/>
    <x v="121"/>
    <x v="33"/>
    <x v="5"/>
    <x v="11"/>
  </r>
  <r>
    <s v="ORD-00305"/>
    <x v="160"/>
    <s v="CUS-DHA-005"/>
    <s v="R01"/>
    <s v="ST-DHA-04"/>
    <x v="35"/>
    <s v="P011"/>
    <n v="1"/>
    <n v="0.1"/>
    <n v="1982"/>
    <n v="4"/>
    <x v="6"/>
    <s v="Cotton T-Shirt"/>
    <s v="Fashion"/>
    <n v="1870"/>
    <x v="43"/>
    <n v="1030"/>
    <n v="1030"/>
    <n v="840"/>
    <x v="43"/>
    <x v="35"/>
    <x v="4"/>
    <x v="35"/>
  </r>
  <r>
    <s v="ORD-00306"/>
    <x v="232"/>
    <s v="CUS-RAN-020"/>
    <s v="R07"/>
    <s v="ST-RAN-02"/>
    <x v="4"/>
    <s v="P015"/>
    <n v="2"/>
    <n v="0.05"/>
    <n v="6026"/>
    <n v="3"/>
    <x v="25"/>
    <s v="Leather Belt"/>
    <s v="Fashion"/>
    <n v="2620"/>
    <x v="162"/>
    <n v="1440"/>
    <n v="2880"/>
    <n v="2360"/>
    <x v="35"/>
    <x v="4"/>
    <x v="0"/>
    <x v="6"/>
  </r>
  <r>
    <s v="ORD-00307"/>
    <x v="233"/>
    <s v="CUS-RAN-020"/>
    <s v="R07"/>
    <s v="ST-RAN-01"/>
    <x v="21"/>
    <s v="P014"/>
    <n v="4"/>
    <n v="7.0000000000000007E-2"/>
    <n v="4048"/>
    <n v="4"/>
    <x v="20"/>
    <s v="Denim Jeans"/>
    <s v="Fashion"/>
    <n v="880"/>
    <x v="32"/>
    <n v="480"/>
    <n v="1920"/>
    <n v="1600"/>
    <x v="35"/>
    <x v="21"/>
    <x v="0"/>
    <x v="0"/>
  </r>
  <r>
    <s v="ORD-00308"/>
    <x v="234"/>
    <s v="CUS-BAR-002"/>
    <s v="R06"/>
    <s v="ST-BAR-01"/>
    <x v="12"/>
    <s v="P013"/>
    <n v="1"/>
    <n v="0.1"/>
    <n v="2229"/>
    <n v="6"/>
    <x v="16"/>
    <s v="Women Kurti"/>
    <s v="Fashion"/>
    <n v="1990"/>
    <x v="163"/>
    <n v="1090"/>
    <n v="1090"/>
    <n v="900"/>
    <x v="63"/>
    <x v="12"/>
    <x v="5"/>
    <x v="9"/>
  </r>
  <r>
    <s v="ORD-00309"/>
    <x v="76"/>
    <s v="CUS-CTG-005"/>
    <s v="R02"/>
    <s v="ST-CTG-05"/>
    <x v="15"/>
    <s v="P012"/>
    <n v="5"/>
    <n v="0.03"/>
    <n v="10374"/>
    <n v="5"/>
    <x v="19"/>
    <s v="Formal Shirt"/>
    <s v="Fashion"/>
    <n v="1820"/>
    <x v="149"/>
    <n v="1000"/>
    <n v="5000"/>
    <n v="4100"/>
    <x v="46"/>
    <x v="15"/>
    <x v="7"/>
    <x v="31"/>
  </r>
  <r>
    <s v="ORD-00310"/>
    <x v="89"/>
    <s v="CUS-CTG-022"/>
    <s v="R02"/>
    <s v="ST-CTG-05"/>
    <x v="18"/>
    <s v="P007"/>
    <n v="6"/>
    <n v="0.18"/>
    <n v="50821"/>
    <n v="10"/>
    <x v="31"/>
    <s v="Rice Cooker"/>
    <s v="Home Appliance"/>
    <n v="7430"/>
    <x v="129"/>
    <n v="5200"/>
    <n v="31200"/>
    <n v="13380"/>
    <x v="74"/>
    <x v="18"/>
    <x v="7"/>
    <x v="31"/>
  </r>
  <r>
    <s v="ORD-00311"/>
    <x v="235"/>
    <s v="CUS-DHA-016"/>
    <s v="R01"/>
    <s v="ST-DHA-04"/>
    <x v="9"/>
    <s v="P044"/>
    <n v="3"/>
    <n v="7.0000000000000007E-2"/>
    <n v="7155"/>
    <n v="3"/>
    <x v="25"/>
    <s v="Color Pencil Set"/>
    <s v="Kids &amp; Toys"/>
    <n v="2250"/>
    <x v="102"/>
    <n v="1240"/>
    <n v="3720"/>
    <n v="3030"/>
    <x v="4"/>
    <x v="9"/>
    <x v="4"/>
    <x v="35"/>
  </r>
  <r>
    <s v="ORD-00312"/>
    <x v="79"/>
    <s v="CUS-KHL-024"/>
    <s v="R05"/>
    <s v="ST-KHL-05"/>
    <x v="16"/>
    <s v="P002"/>
    <n v="5"/>
    <n v="0.08"/>
    <n v="18203"/>
    <n v="5"/>
    <x v="29"/>
    <s v="Wireless Mouse"/>
    <s v="Electronics"/>
    <n v="3340"/>
    <x v="164"/>
    <n v="2270"/>
    <n v="11350"/>
    <n v="5350"/>
    <x v="39"/>
    <x v="16"/>
    <x v="6"/>
    <x v="30"/>
  </r>
  <r>
    <s v="ORD-00313"/>
    <x v="236"/>
    <s v="CUS-KHL-024"/>
    <s v="R05"/>
    <s v="ST-KHL-05"/>
    <x v="45"/>
    <s v="P006"/>
    <n v="1"/>
    <n v="0.12"/>
    <n v="7848"/>
    <n v="5"/>
    <x v="5"/>
    <s v="Electric Kettle"/>
    <s v="Home Appliance"/>
    <n v="7200"/>
    <x v="0"/>
    <n v="5040"/>
    <n v="5040"/>
    <n v="2160"/>
    <x v="39"/>
    <x v="45"/>
    <x v="6"/>
    <x v="30"/>
  </r>
  <r>
    <s v="ORD-00314"/>
    <x v="0"/>
    <s v="CUS-KHL-009"/>
    <s v="R05"/>
    <s v="ST-KHL-01"/>
    <x v="13"/>
    <s v="P003"/>
    <n v="6"/>
    <n v="0.1"/>
    <n v="18574"/>
    <n v="5"/>
    <x v="29"/>
    <s v="Power Bank"/>
    <s v="Electronics"/>
    <n v="2840"/>
    <x v="165"/>
    <n v="1930"/>
    <n v="11580"/>
    <n v="5460"/>
    <x v="99"/>
    <x v="13"/>
    <x v="6"/>
    <x v="24"/>
  </r>
  <r>
    <s v="ORD-00315"/>
    <x v="195"/>
    <s v="CUS-MYM-012"/>
    <s v="R08"/>
    <s v="ST-MYM-02"/>
    <x v="3"/>
    <s v="P035"/>
    <n v="2"/>
    <n v="0.12"/>
    <n v="2398"/>
    <n v="5"/>
    <x v="5"/>
    <s v="Dumbbell Set"/>
    <s v="Sports"/>
    <n v="1110"/>
    <x v="58"/>
    <n v="690"/>
    <n v="1380"/>
    <n v="840"/>
    <x v="63"/>
    <x v="3"/>
    <x v="2"/>
    <x v="20"/>
  </r>
  <r>
    <s v="ORD-00316"/>
    <x v="237"/>
    <s v="CUS-CTG-005"/>
    <s v="R02"/>
    <s v="ST-CTG-05"/>
    <x v="23"/>
    <s v="P039"/>
    <n v="4"/>
    <n v="0.02"/>
    <n v="4742"/>
    <n v="4"/>
    <x v="17"/>
    <s v="Marker Set"/>
    <s v="Stationery"/>
    <n v="1040"/>
    <x v="166"/>
    <n v="520"/>
    <n v="2080"/>
    <n v="2080"/>
    <x v="46"/>
    <x v="23"/>
    <x v="7"/>
    <x v="31"/>
  </r>
  <r>
    <s v="ORD-00317"/>
    <x v="238"/>
    <s v="CUS-MYM-024"/>
    <s v="R08"/>
    <s v="ST-MYM-02"/>
    <x v="11"/>
    <s v="P020"/>
    <n v="2"/>
    <n v="0"/>
    <n v="4622"/>
    <n v="6"/>
    <x v="5"/>
    <s v="Tea Pack 500g"/>
    <s v="Grocery"/>
    <n v="2140"/>
    <x v="152"/>
    <n v="1670"/>
    <n v="3340"/>
    <n v="940"/>
    <x v="94"/>
    <x v="11"/>
    <x v="2"/>
    <x v="20"/>
  </r>
  <r>
    <s v="ORD-00318"/>
    <x v="239"/>
    <s v="CUS-MYM-010"/>
    <s v="R08"/>
    <s v="ST-MYM-04"/>
    <x v="43"/>
    <s v="P047"/>
    <n v="2"/>
    <n v="0.1"/>
    <n v="25229"/>
    <n v="7"/>
    <x v="12"/>
    <s v="Study Table"/>
    <s v="Furniture"/>
    <n v="11680"/>
    <x v="167"/>
    <n v="8410"/>
    <n v="16820"/>
    <n v="6540"/>
    <x v="58"/>
    <x v="43"/>
    <x v="2"/>
    <x v="34"/>
  </r>
  <r>
    <s v="ORD-00319"/>
    <x v="33"/>
    <s v="CUS-MYM-009"/>
    <s v="R08"/>
    <s v="ST-MYM-02"/>
    <x v="31"/>
    <s v="P041"/>
    <n v="2"/>
    <n v="0.1"/>
    <n v="1814"/>
    <n v="3"/>
    <x v="21"/>
    <s v="Building Blocks"/>
    <s v="Kids &amp; Toys"/>
    <n v="840"/>
    <x v="168"/>
    <n v="460"/>
    <n v="920"/>
    <n v="760"/>
    <x v="122"/>
    <x v="31"/>
    <x v="2"/>
    <x v="20"/>
  </r>
  <r>
    <s v="ORD-00320"/>
    <x v="240"/>
    <s v="CUS-DHA-004"/>
    <s v="R01"/>
    <s v="ST-DHA-05"/>
    <x v="35"/>
    <s v="P008"/>
    <n v="5"/>
    <n v="0.12"/>
    <n v="12879"/>
    <n v="5"/>
    <x v="5"/>
    <s v="Blender Machine"/>
    <s v="Home Appliance"/>
    <n v="2430"/>
    <x v="169"/>
    <n v="1700"/>
    <n v="8500"/>
    <n v="3650"/>
    <x v="120"/>
    <x v="35"/>
    <x v="4"/>
    <x v="15"/>
  </r>
  <r>
    <s v="ORD-00321"/>
    <x v="16"/>
    <s v="CUS-BAR-009"/>
    <s v="R06"/>
    <s v="ST-BAR-03"/>
    <x v="47"/>
    <s v="P005"/>
    <n v="2"/>
    <n v="0.1"/>
    <n v="10954"/>
    <n v="5"/>
    <x v="29"/>
    <s v="USB-C Hub"/>
    <s v="Electronics"/>
    <n v="4890"/>
    <x v="19"/>
    <n v="3330"/>
    <n v="6660"/>
    <n v="3120"/>
    <x v="31"/>
    <x v="47"/>
    <x v="5"/>
    <x v="27"/>
  </r>
  <r>
    <s v="ORD-00322"/>
    <x v="241"/>
    <s v="CUS-RAJ-017"/>
    <s v="R04"/>
    <s v="ST-RAJ-03"/>
    <x v="30"/>
    <s v="P028"/>
    <n v="2"/>
    <n v="0.03"/>
    <n v="6955"/>
    <n v="2"/>
    <x v="15"/>
    <s v="Ladies Sandal"/>
    <s v="Footwear"/>
    <n v="3220"/>
    <x v="4"/>
    <n v="1930"/>
    <n v="3860"/>
    <n v="2580"/>
    <x v="55"/>
    <x v="30"/>
    <x v="1"/>
    <x v="18"/>
  </r>
  <r>
    <s v="ORD-00323"/>
    <x v="242"/>
    <s v="CUS-DHA-003"/>
    <s v="R01"/>
    <s v="ST-DHA-01"/>
    <x v="6"/>
    <s v="P002"/>
    <n v="5"/>
    <n v="0.1"/>
    <n v="17702"/>
    <n v="2"/>
    <x v="24"/>
    <s v="Wireless Mouse"/>
    <s v="Electronics"/>
    <n v="3340"/>
    <x v="164"/>
    <n v="2270"/>
    <n v="11350"/>
    <n v="5350"/>
    <x v="65"/>
    <x v="6"/>
    <x v="4"/>
    <x v="29"/>
  </r>
  <r>
    <s v="ORD-00324"/>
    <x v="86"/>
    <s v="CUS-DHA-001"/>
    <s v="R01"/>
    <s v="ST-DHA-05"/>
    <x v="44"/>
    <s v="P002"/>
    <n v="8"/>
    <n v="0.08"/>
    <n v="28323"/>
    <n v="1"/>
    <x v="13"/>
    <s v="Wireless Mouse"/>
    <s v="Electronics"/>
    <n v="3340"/>
    <x v="170"/>
    <n v="2270"/>
    <n v="18160"/>
    <n v="8560"/>
    <x v="13"/>
    <x v="44"/>
    <x v="4"/>
    <x v="15"/>
  </r>
  <r>
    <s v="ORD-00325"/>
    <x v="243"/>
    <s v="CUS-CTG-003"/>
    <s v="R02"/>
    <s v="ST-CTG-05"/>
    <x v="23"/>
    <s v="P009"/>
    <n v="6"/>
    <n v="0.1"/>
    <n v="31190"/>
    <n v="7"/>
    <x v="12"/>
    <s v="Steam Iron"/>
    <s v="Home Appliance"/>
    <n v="4560"/>
    <x v="171"/>
    <n v="3190"/>
    <n v="19140"/>
    <n v="8220"/>
    <x v="27"/>
    <x v="23"/>
    <x v="7"/>
    <x v="31"/>
  </r>
  <r>
    <s v="ORD-00326"/>
    <x v="174"/>
    <s v="CUS-CTG-021"/>
    <s v="R02"/>
    <s v="ST-CTG-04"/>
    <x v="15"/>
    <s v="P034"/>
    <n v="2"/>
    <n v="0.03"/>
    <n v="6224"/>
    <n v="7"/>
    <x v="11"/>
    <s v="Yoga Mat"/>
    <s v="Sports"/>
    <n v="2730"/>
    <x v="20"/>
    <n v="1690"/>
    <n v="3380"/>
    <n v="2080"/>
    <x v="98"/>
    <x v="15"/>
    <x v="7"/>
    <x v="33"/>
  </r>
  <r>
    <s v="ORD-00327"/>
    <x v="244"/>
    <s v="CUS-KHL-025"/>
    <s v="R05"/>
    <s v="ST-KHL-01"/>
    <x v="24"/>
    <s v="P009"/>
    <n v="3"/>
    <n v="0.1"/>
    <n v="14911"/>
    <n v="3"/>
    <x v="21"/>
    <s v="Steam Iron"/>
    <s v="Home Appliance"/>
    <n v="4560"/>
    <x v="6"/>
    <n v="3190"/>
    <n v="9570"/>
    <n v="4110"/>
    <x v="81"/>
    <x v="24"/>
    <x v="6"/>
    <x v="24"/>
  </r>
  <r>
    <s v="ORD-00328"/>
    <x v="245"/>
    <s v="CUS-RAJ-020"/>
    <s v="R04"/>
    <s v="ST-RAJ-04"/>
    <x v="46"/>
    <s v="P025"/>
    <n v="2"/>
    <n v="0.05"/>
    <n v="2722"/>
    <n v="5"/>
    <x v="19"/>
    <s v="Perfume Spray"/>
    <s v="Beauty &amp; Personal Care"/>
    <n v="1260"/>
    <x v="17"/>
    <n v="730"/>
    <n v="1460"/>
    <n v="1060"/>
    <x v="118"/>
    <x v="46"/>
    <x v="1"/>
    <x v="1"/>
  </r>
  <r>
    <s v="ORD-00329"/>
    <x v="221"/>
    <s v="CUS-CTG-015"/>
    <s v="R02"/>
    <s v="ST-CTG-03"/>
    <x v="41"/>
    <s v="P001"/>
    <n v="4"/>
    <n v="0.15"/>
    <n v="14774"/>
    <n v="7"/>
    <x v="23"/>
    <s v="Bluetooth Speaker"/>
    <s v="Electronics"/>
    <n v="3240"/>
    <x v="24"/>
    <n v="2200"/>
    <n v="8800"/>
    <n v="4160"/>
    <x v="97"/>
    <x v="41"/>
    <x v="7"/>
    <x v="16"/>
  </r>
  <r>
    <s v="ORD-00330"/>
    <x v="212"/>
    <s v="CUS-DHA-002"/>
    <s v="R01"/>
    <s v="ST-DHA-04"/>
    <x v="14"/>
    <s v="P003"/>
    <n v="8"/>
    <n v="0.08"/>
    <n v="24083"/>
    <n v="2"/>
    <x v="18"/>
    <s v="Power Bank"/>
    <s v="Electronics"/>
    <n v="2840"/>
    <x v="172"/>
    <n v="1930"/>
    <n v="15440"/>
    <n v="7280"/>
    <x v="86"/>
    <x v="14"/>
    <x v="4"/>
    <x v="35"/>
  </r>
  <r>
    <s v="ORD-00331"/>
    <x v="106"/>
    <s v="CUS-MYM-016"/>
    <s v="R08"/>
    <s v="ST-MYM-04"/>
    <x v="19"/>
    <s v="P039"/>
    <n v="3"/>
    <n v="0.05"/>
    <n v="3370"/>
    <n v="7"/>
    <x v="11"/>
    <s v="Marker Set"/>
    <s v="Stationery"/>
    <n v="1040"/>
    <x v="173"/>
    <n v="520"/>
    <n v="1560"/>
    <n v="1560"/>
    <x v="61"/>
    <x v="19"/>
    <x v="2"/>
    <x v="34"/>
  </r>
  <r>
    <s v="ORD-00332"/>
    <x v="246"/>
    <s v="CUS-MYM-004"/>
    <s v="R08"/>
    <s v="ST-MYM-05"/>
    <x v="31"/>
    <s v="P046"/>
    <n v="2"/>
    <n v="7.0000000000000007E-2"/>
    <n v="9461"/>
    <n v="5"/>
    <x v="29"/>
    <s v="Office Chair"/>
    <s v="Furniture"/>
    <n v="4380"/>
    <x v="174"/>
    <n v="3150"/>
    <n v="6300"/>
    <n v="2460"/>
    <x v="92"/>
    <x v="31"/>
    <x v="2"/>
    <x v="28"/>
  </r>
  <r>
    <s v="ORD-00333"/>
    <x v="226"/>
    <s v="CUS-RAN-002"/>
    <s v="R07"/>
    <s v="ST-RAN-01"/>
    <x v="42"/>
    <s v="P017"/>
    <n v="2"/>
    <n v="0.03"/>
    <n v="851"/>
    <n v="5"/>
    <x v="19"/>
    <s v="Soybean Oil 5L"/>
    <s v="Grocery"/>
    <n v="370"/>
    <x v="175"/>
    <n v="290"/>
    <n v="580"/>
    <n v="160"/>
    <x v="12"/>
    <x v="42"/>
    <x v="0"/>
    <x v="0"/>
  </r>
  <r>
    <s v="ORD-00334"/>
    <x v="247"/>
    <s v="CUS-DHA-013"/>
    <s v="R01"/>
    <s v="ST-DHA-02"/>
    <x v="14"/>
    <s v="P029"/>
    <n v="4"/>
    <n v="0.1"/>
    <n v="11363"/>
    <n v="1"/>
    <x v="13"/>
    <s v="Kids Sneaker"/>
    <s v="Footwear"/>
    <n v="2680"/>
    <x v="14"/>
    <n v="1610"/>
    <n v="6440"/>
    <n v="4280"/>
    <x v="6"/>
    <x v="14"/>
    <x v="4"/>
    <x v="8"/>
  </r>
  <r>
    <s v="ORD-00335"/>
    <x v="248"/>
    <s v="CUS-CTG-021"/>
    <s v="R02"/>
    <s v="ST-CTG-04"/>
    <x v="37"/>
    <s v="P004"/>
    <n v="1"/>
    <n v="0.18"/>
    <n v="4412"/>
    <n v="5"/>
    <x v="4"/>
    <s v="Smart Watch"/>
    <s v="Electronics"/>
    <n v="3870"/>
    <x v="80"/>
    <n v="2630"/>
    <n v="2630"/>
    <n v="1240"/>
    <x v="98"/>
    <x v="37"/>
    <x v="7"/>
    <x v="33"/>
  </r>
  <r>
    <s v="ORD-00336"/>
    <x v="249"/>
    <s v="CUS-KHL-016"/>
    <s v="R05"/>
    <s v="ST-KHL-05"/>
    <x v="24"/>
    <s v="P048"/>
    <n v="1"/>
    <n v="0.03"/>
    <n v="5799"/>
    <n v="7"/>
    <x v="11"/>
    <s v="Shoe Rack"/>
    <s v="Furniture"/>
    <n v="5320"/>
    <x v="133"/>
    <n v="3830"/>
    <n v="3830"/>
    <n v="1490"/>
    <x v="54"/>
    <x v="24"/>
    <x v="6"/>
    <x v="30"/>
  </r>
  <r>
    <s v="ORD-00337"/>
    <x v="250"/>
    <s v="CUS-BAR-024"/>
    <s v="R06"/>
    <s v="ST-BAR-01"/>
    <x v="22"/>
    <s v="P003"/>
    <n v="10"/>
    <n v="0.1"/>
    <n v="31808"/>
    <n v="5"/>
    <x v="29"/>
    <s v="Power Bank"/>
    <s v="Electronics"/>
    <n v="2840"/>
    <x v="61"/>
    <n v="1930"/>
    <n v="19300"/>
    <n v="9100"/>
    <x v="84"/>
    <x v="22"/>
    <x v="5"/>
    <x v="9"/>
  </r>
  <r>
    <s v="ORD-00338"/>
    <x v="121"/>
    <s v="CUS-CTG-002"/>
    <s v="R02"/>
    <s v="ST-CTG-02"/>
    <x v="39"/>
    <s v="P026"/>
    <n v="8"/>
    <n v="0.03"/>
    <n v="32011"/>
    <n v="4"/>
    <x v="17"/>
    <s v="Running Shoe"/>
    <s v="Footwear"/>
    <n v="3510"/>
    <x v="153"/>
    <n v="2110"/>
    <n v="16880"/>
    <n v="11200"/>
    <x v="123"/>
    <x v="39"/>
    <x v="7"/>
    <x v="22"/>
  </r>
  <r>
    <s v="ORD-00339"/>
    <x v="185"/>
    <s v="CUS-RAJ-023"/>
    <s v="R04"/>
    <s v="ST-RAJ-02"/>
    <x v="1"/>
    <s v="P004"/>
    <n v="6"/>
    <n v="0.08"/>
    <n v="25078"/>
    <n v="3"/>
    <x v="25"/>
    <s v="Smart Watch"/>
    <s v="Electronics"/>
    <n v="3870"/>
    <x v="176"/>
    <n v="2630"/>
    <n v="15780"/>
    <n v="7440"/>
    <x v="50"/>
    <x v="1"/>
    <x v="1"/>
    <x v="2"/>
  </r>
  <r>
    <s v="ORD-00340"/>
    <x v="251"/>
    <s v="CUS-CTG-004"/>
    <s v="R02"/>
    <s v="ST-CTG-01"/>
    <x v="39"/>
    <s v="P021"/>
    <n v="1"/>
    <n v="0.05"/>
    <n v="1459"/>
    <n v="5"/>
    <x v="19"/>
    <s v="Face Wash"/>
    <s v="Beauty &amp; Personal Care"/>
    <n v="1280"/>
    <x v="177"/>
    <n v="740"/>
    <n v="740"/>
    <n v="540"/>
    <x v="57"/>
    <x v="39"/>
    <x v="7"/>
    <x v="37"/>
  </r>
  <r>
    <s v="ORD-00341"/>
    <x v="252"/>
    <s v="CUS-RAN-011"/>
    <s v="R07"/>
    <s v="ST-RAN-04"/>
    <x v="42"/>
    <s v="P003"/>
    <n v="2"/>
    <n v="0.1"/>
    <n v="6532"/>
    <n v="6"/>
    <x v="16"/>
    <s v="Power Bank"/>
    <s v="Electronics"/>
    <n v="2840"/>
    <x v="54"/>
    <n v="1930"/>
    <n v="3860"/>
    <n v="1820"/>
    <x v="99"/>
    <x v="42"/>
    <x v="0"/>
    <x v="13"/>
  </r>
  <r>
    <s v="ORD-00342"/>
    <x v="253"/>
    <s v="CUS-BAR-003"/>
    <s v="R06"/>
    <s v="ST-BAR-01"/>
    <x v="33"/>
    <s v="P003"/>
    <n v="2"/>
    <n v="0.18"/>
    <n v="6362"/>
    <n v="3"/>
    <x v="20"/>
    <s v="Power Bank"/>
    <s v="Electronics"/>
    <n v="2840"/>
    <x v="54"/>
    <n v="1930"/>
    <n v="3860"/>
    <n v="1820"/>
    <x v="115"/>
    <x v="33"/>
    <x v="5"/>
    <x v="9"/>
  </r>
  <r>
    <s v="ORD-00343"/>
    <x v="9"/>
    <s v="CUS-SYL-015"/>
    <s v="R03"/>
    <s v="ST-SYL-02"/>
    <x v="5"/>
    <s v="P001"/>
    <n v="6"/>
    <n v="0.18"/>
    <n v="20801"/>
    <n v="2"/>
    <x v="10"/>
    <s v="Bluetooth Speaker"/>
    <s v="Electronics"/>
    <n v="3240"/>
    <x v="82"/>
    <n v="2200"/>
    <n v="13200"/>
    <n v="6240"/>
    <x v="74"/>
    <x v="5"/>
    <x v="3"/>
    <x v="32"/>
  </r>
  <r>
    <s v="ORD-00344"/>
    <x v="159"/>
    <s v="CUS-MYM-003"/>
    <s v="R08"/>
    <s v="ST-MYM-01"/>
    <x v="17"/>
    <s v="P004"/>
    <n v="6"/>
    <n v="0.12"/>
    <n v="25078"/>
    <n v="5"/>
    <x v="5"/>
    <s v="Smart Watch"/>
    <s v="Electronics"/>
    <n v="3870"/>
    <x v="176"/>
    <n v="2630"/>
    <n v="15780"/>
    <n v="7440"/>
    <x v="124"/>
    <x v="17"/>
    <x v="2"/>
    <x v="3"/>
  </r>
  <r>
    <s v="ORD-00345"/>
    <x v="254"/>
    <s v="CUS-RAN-023"/>
    <s v="R07"/>
    <s v="ST-RAN-04"/>
    <x v="0"/>
    <s v="P003"/>
    <n v="3"/>
    <n v="0.18"/>
    <n v="9798"/>
    <n v="5"/>
    <x v="4"/>
    <s v="Power Bank"/>
    <s v="Electronics"/>
    <n v="2840"/>
    <x v="3"/>
    <n v="1930"/>
    <n v="5790"/>
    <n v="2730"/>
    <x v="125"/>
    <x v="0"/>
    <x v="0"/>
    <x v="13"/>
  </r>
  <r>
    <s v="ORD-00346"/>
    <x v="255"/>
    <s v="CUS-SYL-020"/>
    <s v="R03"/>
    <s v="ST-SYL-01"/>
    <x v="5"/>
    <s v="P004"/>
    <n v="3"/>
    <n v="0.08"/>
    <n v="12423"/>
    <n v="3"/>
    <x v="25"/>
    <s v="Smart Watch"/>
    <s v="Electronics"/>
    <n v="3870"/>
    <x v="39"/>
    <n v="2630"/>
    <n v="7890"/>
    <n v="3720"/>
    <x v="33"/>
    <x v="5"/>
    <x v="3"/>
    <x v="25"/>
  </r>
  <r>
    <s v="ORD-00347"/>
    <x v="177"/>
    <s v="CUS-KHL-012"/>
    <s v="R05"/>
    <s v="ST-KHL-04"/>
    <x v="45"/>
    <s v="P019"/>
    <n v="1"/>
    <n v="0"/>
    <n v="480"/>
    <n v="1"/>
    <x v="33"/>
    <s v="Flour 2kg"/>
    <s v="Grocery"/>
    <n v="440"/>
    <x v="178"/>
    <n v="340"/>
    <n v="340"/>
    <n v="100"/>
    <x v="37"/>
    <x v="45"/>
    <x v="6"/>
    <x v="19"/>
  </r>
  <r>
    <s v="ORD-00348"/>
    <x v="205"/>
    <s v="CUS-RAJ-015"/>
    <s v="R04"/>
    <s v="ST-RAJ-02"/>
    <x v="26"/>
    <s v="P001"/>
    <n v="6"/>
    <n v="0.15"/>
    <n v="20995"/>
    <n v="2"/>
    <x v="10"/>
    <s v="Bluetooth Speaker"/>
    <s v="Electronics"/>
    <n v="3240"/>
    <x v="82"/>
    <n v="2200"/>
    <n v="13200"/>
    <n v="6240"/>
    <x v="93"/>
    <x v="26"/>
    <x v="1"/>
    <x v="2"/>
  </r>
  <r>
    <s v="ORD-00349"/>
    <x v="74"/>
    <s v="CUS-MYM-006"/>
    <s v="R08"/>
    <s v="ST-MYM-02"/>
    <x v="43"/>
    <s v="P045"/>
    <n v="3"/>
    <n v="7.0000000000000007E-2"/>
    <n v="2722"/>
    <n v="4"/>
    <x v="20"/>
    <s v="Kids Story Book"/>
    <s v="Kids &amp; Toys"/>
    <n v="840"/>
    <x v="17"/>
    <n v="460"/>
    <n v="1380"/>
    <n v="1140"/>
    <x v="60"/>
    <x v="43"/>
    <x v="2"/>
    <x v="20"/>
  </r>
  <r>
    <s v="ORD-00350"/>
    <x v="256"/>
    <s v="CUS-MYM-002"/>
    <s v="R08"/>
    <s v="ST-MYM-01"/>
    <x v="43"/>
    <s v="P001"/>
    <n v="1"/>
    <n v="0.08"/>
    <n v="3499"/>
    <n v="5"/>
    <x v="29"/>
    <s v="Bluetooth Speaker"/>
    <s v="Electronics"/>
    <n v="3240"/>
    <x v="40"/>
    <n v="2200"/>
    <n v="2200"/>
    <n v="1040"/>
    <x v="5"/>
    <x v="43"/>
    <x v="2"/>
    <x v="3"/>
  </r>
  <r>
    <s v="ORD-00351"/>
    <x v="257"/>
    <s v="CUS-MYM-017"/>
    <s v="R08"/>
    <s v="ST-MYM-01"/>
    <x v="17"/>
    <s v="P043"/>
    <n v="4"/>
    <n v="0.1"/>
    <n v="9504"/>
    <n v="5"/>
    <x v="29"/>
    <s v="Puzzle Board"/>
    <s v="Kids &amp; Toys"/>
    <n v="2200"/>
    <x v="179"/>
    <n v="1210"/>
    <n v="4840"/>
    <n v="3960"/>
    <x v="106"/>
    <x v="17"/>
    <x v="2"/>
    <x v="3"/>
  </r>
  <r>
    <s v="ORD-00352"/>
    <x v="233"/>
    <s v="CUS-BAR-008"/>
    <s v="R06"/>
    <s v="ST-BAR-01"/>
    <x v="33"/>
    <s v="P005"/>
    <n v="4"/>
    <n v="0.1"/>
    <n v="21907"/>
    <n v="8"/>
    <x v="27"/>
    <s v="USB-C Hub"/>
    <s v="Electronics"/>
    <n v="4890"/>
    <x v="41"/>
    <n v="3330"/>
    <n v="13320"/>
    <n v="6240"/>
    <x v="90"/>
    <x v="33"/>
    <x v="5"/>
    <x v="9"/>
  </r>
  <r>
    <s v="ORD-00353"/>
    <x v="74"/>
    <s v="CUS-RAN-008"/>
    <s v="R07"/>
    <s v="ST-RAN-01"/>
    <x v="4"/>
    <s v="P021"/>
    <n v="6"/>
    <n v="0.05"/>
    <n v="8832"/>
    <n v="7"/>
    <x v="11"/>
    <s v="Face Wash"/>
    <s v="Beauty &amp; Personal Care"/>
    <n v="1280"/>
    <x v="180"/>
    <n v="740"/>
    <n v="4440"/>
    <n v="3240"/>
    <x v="26"/>
    <x v="4"/>
    <x v="0"/>
    <x v="0"/>
  </r>
  <r>
    <s v="ORD-00354"/>
    <x v="258"/>
    <s v="CUS-SYL-013"/>
    <s v="R03"/>
    <s v="ST-SYL-03"/>
    <x v="20"/>
    <s v="P012"/>
    <n v="3"/>
    <n v="7.0000000000000007E-2"/>
    <n v="5842"/>
    <n v="5"/>
    <x v="29"/>
    <s v="Formal Shirt"/>
    <s v="Fashion"/>
    <n v="1820"/>
    <x v="20"/>
    <n v="1000"/>
    <n v="3000"/>
    <n v="2460"/>
    <x v="89"/>
    <x v="20"/>
    <x v="3"/>
    <x v="23"/>
  </r>
  <r>
    <s v="ORD-00355"/>
    <x v="244"/>
    <s v="CUS-RAJ-011"/>
    <s v="R04"/>
    <s v="ST-RAJ-02"/>
    <x v="1"/>
    <s v="P028"/>
    <n v="2"/>
    <n v="0.1"/>
    <n v="6955"/>
    <n v="3"/>
    <x v="21"/>
    <s v="Ladies Sandal"/>
    <s v="Footwear"/>
    <n v="3220"/>
    <x v="4"/>
    <n v="1930"/>
    <n v="3860"/>
    <n v="2580"/>
    <x v="43"/>
    <x v="1"/>
    <x v="1"/>
    <x v="2"/>
  </r>
  <r>
    <s v="ORD-00356"/>
    <x v="50"/>
    <s v="CUS-BAR-008"/>
    <s v="R06"/>
    <s v="ST-BAR-03"/>
    <x v="12"/>
    <s v="P003"/>
    <n v="3"/>
    <n v="0.18"/>
    <n v="9542"/>
    <n v="5"/>
    <x v="4"/>
    <s v="Power Bank"/>
    <s v="Electronics"/>
    <n v="2840"/>
    <x v="3"/>
    <n v="1930"/>
    <n v="5790"/>
    <n v="2730"/>
    <x v="90"/>
    <x v="12"/>
    <x v="5"/>
    <x v="27"/>
  </r>
  <r>
    <s v="ORD-00357"/>
    <x v="259"/>
    <s v="CUS-RAJ-003"/>
    <s v="R04"/>
    <s v="ST-RAJ-04"/>
    <x v="40"/>
    <s v="P014"/>
    <n v="3"/>
    <n v="0.1"/>
    <n v="2851"/>
    <n v="3"/>
    <x v="21"/>
    <s v="Denim Jeans"/>
    <s v="Fashion"/>
    <n v="880"/>
    <x v="12"/>
    <n v="480"/>
    <n v="1440"/>
    <n v="1200"/>
    <x v="88"/>
    <x v="40"/>
    <x v="1"/>
    <x v="1"/>
  </r>
  <r>
    <s v="ORD-00358"/>
    <x v="260"/>
    <s v="CUS-RAJ-008"/>
    <s v="R04"/>
    <s v="ST-RAJ-03"/>
    <x v="2"/>
    <s v="P020"/>
    <n v="6"/>
    <n v="0"/>
    <n v="13867"/>
    <n v="7"/>
    <x v="28"/>
    <s v="Tea Pack 500g"/>
    <s v="Grocery"/>
    <n v="2140"/>
    <x v="181"/>
    <n v="1670"/>
    <n v="10020"/>
    <n v="2820"/>
    <x v="40"/>
    <x v="2"/>
    <x v="1"/>
    <x v="18"/>
  </r>
  <r>
    <s v="ORD-00359"/>
    <x v="82"/>
    <s v="CUS-RAN-002"/>
    <s v="R07"/>
    <s v="ST-RAN-01"/>
    <x v="4"/>
    <s v="P031"/>
    <n v="1"/>
    <n v="0.12"/>
    <n v="3036"/>
    <n v="3"/>
    <x v="21"/>
    <s v="Cricket Bat"/>
    <s v="Sports"/>
    <n v="2640"/>
    <x v="12"/>
    <n v="1640"/>
    <n v="1640"/>
    <n v="1000"/>
    <x v="12"/>
    <x v="4"/>
    <x v="0"/>
    <x v="0"/>
  </r>
  <r>
    <s v="ORD-00360"/>
    <x v="33"/>
    <s v="CUS-CTG-015"/>
    <s v="R02"/>
    <s v="ST-CTG-04"/>
    <x v="23"/>
    <s v="P002"/>
    <n v="4"/>
    <n v="0.15"/>
    <n v="15230"/>
    <n v="7"/>
    <x v="23"/>
    <s v="Wireless Mouse"/>
    <s v="Electronics"/>
    <n v="3340"/>
    <x v="83"/>
    <n v="2270"/>
    <n v="9080"/>
    <n v="4280"/>
    <x v="97"/>
    <x v="23"/>
    <x v="7"/>
    <x v="33"/>
  </r>
  <r>
    <s v="ORD-00361"/>
    <x v="12"/>
    <s v="CUS-RAJ-005"/>
    <s v="R04"/>
    <s v="ST-RAJ-03"/>
    <x v="26"/>
    <s v="P005"/>
    <n v="3"/>
    <n v="0.12"/>
    <n v="15844"/>
    <n v="5"/>
    <x v="5"/>
    <s v="USB-C Hub"/>
    <s v="Electronics"/>
    <n v="4890"/>
    <x v="27"/>
    <n v="3330"/>
    <n v="9990"/>
    <n v="4680"/>
    <x v="2"/>
    <x v="26"/>
    <x v="1"/>
    <x v="18"/>
  </r>
  <r>
    <s v="ORD-00362"/>
    <x v="261"/>
    <s v="CUS-DHA-015"/>
    <s v="R01"/>
    <s v="ST-DHA-04"/>
    <x v="28"/>
    <s v="P041"/>
    <n v="1"/>
    <n v="7.0000000000000007E-2"/>
    <n v="890"/>
    <n v="4"/>
    <x v="20"/>
    <s v="Building Blocks"/>
    <s v="Kids &amp; Toys"/>
    <n v="840"/>
    <x v="112"/>
    <n v="460"/>
    <n v="460"/>
    <n v="380"/>
    <x v="75"/>
    <x v="28"/>
    <x v="4"/>
    <x v="35"/>
  </r>
  <r>
    <s v="ORD-00363"/>
    <x v="262"/>
    <s v="CUS-MYM-023"/>
    <s v="R08"/>
    <s v="ST-MYM-01"/>
    <x v="43"/>
    <s v="P002"/>
    <n v="4"/>
    <n v="0.15"/>
    <n v="14429"/>
    <n v="4"/>
    <x v="3"/>
    <s v="Wireless Mouse"/>
    <s v="Electronics"/>
    <n v="3340"/>
    <x v="83"/>
    <n v="2270"/>
    <n v="9080"/>
    <n v="4280"/>
    <x v="70"/>
    <x v="43"/>
    <x v="2"/>
    <x v="3"/>
  </r>
  <r>
    <s v="ORD-00364"/>
    <x v="263"/>
    <s v="CUS-RAJ-022"/>
    <s v="R04"/>
    <s v="ST-RAJ-01"/>
    <x v="40"/>
    <s v="P042"/>
    <n v="3"/>
    <n v="7.0000000000000007E-2"/>
    <n v="5897"/>
    <n v="1"/>
    <x v="13"/>
    <s v="Toy Car Set"/>
    <s v="Kids &amp; Toys"/>
    <n v="1820"/>
    <x v="20"/>
    <n v="1000"/>
    <n v="3000"/>
    <n v="2460"/>
    <x v="62"/>
    <x v="40"/>
    <x v="1"/>
    <x v="36"/>
  </r>
  <r>
    <s v="ORD-00365"/>
    <x v="178"/>
    <s v="CUS-DHA-004"/>
    <s v="R01"/>
    <s v="ST-DHA-04"/>
    <x v="14"/>
    <s v="P012"/>
    <n v="2"/>
    <n v="0.05"/>
    <n v="3858"/>
    <n v="1"/>
    <x v="7"/>
    <s v="Formal Shirt"/>
    <s v="Fashion"/>
    <n v="1820"/>
    <x v="48"/>
    <n v="1000"/>
    <n v="2000"/>
    <n v="1640"/>
    <x v="120"/>
    <x v="14"/>
    <x v="4"/>
    <x v="35"/>
  </r>
  <r>
    <s v="ORD-00366"/>
    <x v="264"/>
    <s v="CUS-RAJ-005"/>
    <s v="R04"/>
    <s v="ST-RAJ-03"/>
    <x v="46"/>
    <s v="P017"/>
    <n v="4"/>
    <n v="0.02"/>
    <n v="1598"/>
    <n v="2"/>
    <x v="15"/>
    <s v="Soybean Oil 5L"/>
    <s v="Grocery"/>
    <n v="370"/>
    <x v="182"/>
    <n v="290"/>
    <n v="1160"/>
    <n v="320"/>
    <x v="2"/>
    <x v="46"/>
    <x v="1"/>
    <x v="18"/>
  </r>
  <r>
    <s v="ORD-00367"/>
    <x v="129"/>
    <s v="CUS-RAJ-011"/>
    <s v="R04"/>
    <s v="ST-RAJ-03"/>
    <x v="26"/>
    <s v="P015"/>
    <n v="2"/>
    <n v="7.0000000000000007E-2"/>
    <n v="5659"/>
    <n v="3"/>
    <x v="25"/>
    <s v="Leather Belt"/>
    <s v="Fashion"/>
    <n v="2620"/>
    <x v="162"/>
    <n v="1440"/>
    <n v="2880"/>
    <n v="2360"/>
    <x v="43"/>
    <x v="26"/>
    <x v="1"/>
    <x v="18"/>
  </r>
  <r>
    <s v="ORD-00368"/>
    <x v="265"/>
    <s v="CUS-CTG-016"/>
    <s v="R02"/>
    <s v="ST-CTG-05"/>
    <x v="37"/>
    <s v="P038"/>
    <n v="2"/>
    <n v="0.03"/>
    <n v="775"/>
    <n v="7"/>
    <x v="11"/>
    <s v="Office File Set"/>
    <s v="Stationery"/>
    <n v="340"/>
    <x v="159"/>
    <n v="170"/>
    <n v="340"/>
    <n v="340"/>
    <x v="115"/>
    <x v="37"/>
    <x v="7"/>
    <x v="31"/>
  </r>
  <r>
    <s v="ORD-00369"/>
    <x v="206"/>
    <s v="CUS-CTG-007"/>
    <s v="R02"/>
    <s v="ST-CTG-04"/>
    <x v="41"/>
    <s v="P002"/>
    <n v="2"/>
    <n v="0.08"/>
    <n v="7615"/>
    <n v="6"/>
    <x v="16"/>
    <s v="Wireless Mouse"/>
    <s v="Electronics"/>
    <n v="3340"/>
    <x v="15"/>
    <n v="2270"/>
    <n v="4540"/>
    <n v="2140"/>
    <x v="62"/>
    <x v="41"/>
    <x v="7"/>
    <x v="33"/>
  </r>
  <r>
    <s v="ORD-00370"/>
    <x v="219"/>
    <s v="CUS-SYL-016"/>
    <s v="R03"/>
    <s v="ST-SYL-02"/>
    <x v="20"/>
    <s v="P016"/>
    <n v="2"/>
    <n v="0.02"/>
    <n v="2375"/>
    <n v="4"/>
    <x v="17"/>
    <s v="Premium Rice 5kg"/>
    <s v="Grocery"/>
    <n v="1110"/>
    <x v="58"/>
    <n v="870"/>
    <n v="1740"/>
    <n v="480"/>
    <x v="48"/>
    <x v="20"/>
    <x v="3"/>
    <x v="32"/>
  </r>
  <r>
    <s v="ORD-00371"/>
    <x v="266"/>
    <s v="CUS-MYM-012"/>
    <s v="R08"/>
    <s v="ST-MYM-04"/>
    <x v="19"/>
    <s v="P032"/>
    <n v="2"/>
    <n v="0.03"/>
    <n v="8035"/>
    <n v="7"/>
    <x v="11"/>
    <s v="Football"/>
    <s v="Sports"/>
    <n v="3720"/>
    <x v="44"/>
    <n v="2310"/>
    <n v="4620"/>
    <n v="2820"/>
    <x v="63"/>
    <x v="19"/>
    <x v="2"/>
    <x v="34"/>
  </r>
  <r>
    <s v="ORD-00372"/>
    <x v="267"/>
    <s v="CUS-BAR-014"/>
    <s v="R06"/>
    <s v="ST-BAR-05"/>
    <x v="33"/>
    <s v="P026"/>
    <n v="4"/>
    <n v="0.12"/>
    <n v="15725"/>
    <n v="5"/>
    <x v="5"/>
    <s v="Running Shoe"/>
    <s v="Footwear"/>
    <n v="3510"/>
    <x v="183"/>
    <n v="2110"/>
    <n v="8440"/>
    <n v="5600"/>
    <x v="121"/>
    <x v="33"/>
    <x v="5"/>
    <x v="7"/>
  </r>
  <r>
    <s v="ORD-00373"/>
    <x v="268"/>
    <s v="CUS-MYM-015"/>
    <s v="R08"/>
    <s v="ST-MYM-03"/>
    <x v="31"/>
    <s v="P003"/>
    <n v="1"/>
    <n v="0.12"/>
    <n v="3067"/>
    <n v="4"/>
    <x v="6"/>
    <s v="Power Bank"/>
    <s v="Electronics"/>
    <n v="2840"/>
    <x v="53"/>
    <n v="1930"/>
    <n v="1930"/>
    <n v="910"/>
    <x v="126"/>
    <x v="31"/>
    <x v="2"/>
    <x v="10"/>
  </r>
  <r>
    <s v="ORD-00374"/>
    <x v="269"/>
    <s v="CUS-KHL-025"/>
    <s v="R05"/>
    <s v="ST-KHL-01"/>
    <x v="36"/>
    <s v="P008"/>
    <n v="10"/>
    <n v="0.1"/>
    <n v="26487"/>
    <n v="7"/>
    <x v="12"/>
    <s v="Blender Machine"/>
    <s v="Home Appliance"/>
    <n v="2430"/>
    <x v="184"/>
    <n v="1700"/>
    <n v="17000"/>
    <n v="7300"/>
    <x v="81"/>
    <x v="36"/>
    <x v="6"/>
    <x v="24"/>
  </r>
  <r>
    <s v="ORD-00375"/>
    <x v="270"/>
    <s v="CUS-KHL-006"/>
    <s v="R05"/>
    <s v="ST-KHL-02"/>
    <x v="13"/>
    <s v="P028"/>
    <n v="1"/>
    <n v="0.03"/>
    <n v="3510"/>
    <n v="5"/>
    <x v="19"/>
    <s v="Ladies Sandal"/>
    <s v="Footwear"/>
    <n v="3220"/>
    <x v="185"/>
    <n v="1930"/>
    <n v="1930"/>
    <n v="1290"/>
    <x v="56"/>
    <x v="13"/>
    <x v="6"/>
    <x v="14"/>
  </r>
  <r>
    <s v="ORD-00376"/>
    <x v="271"/>
    <s v="CUS-SYL-015"/>
    <s v="R03"/>
    <s v="ST-SYL-03"/>
    <x v="38"/>
    <s v="P004"/>
    <n v="3"/>
    <n v="0.12"/>
    <n v="12423"/>
    <n v="3"/>
    <x v="21"/>
    <s v="Smart Watch"/>
    <s v="Electronics"/>
    <n v="3870"/>
    <x v="39"/>
    <n v="2630"/>
    <n v="7890"/>
    <n v="3720"/>
    <x v="74"/>
    <x v="38"/>
    <x v="3"/>
    <x v="23"/>
  </r>
  <r>
    <s v="ORD-00377"/>
    <x v="272"/>
    <s v="CUS-SYL-012"/>
    <s v="R03"/>
    <s v="ST-SYL-04"/>
    <x v="5"/>
    <s v="P049"/>
    <n v="1"/>
    <n v="0.03"/>
    <n v="4526"/>
    <n v="3"/>
    <x v="10"/>
    <s v="Bookshelf"/>
    <s v="Furniture"/>
    <n v="4230"/>
    <x v="9"/>
    <n v="3050"/>
    <n v="3050"/>
    <n v="1180"/>
    <x v="127"/>
    <x v="5"/>
    <x v="3"/>
    <x v="21"/>
  </r>
  <r>
    <s v="ORD-00378"/>
    <x v="273"/>
    <s v="CUS-SYL-015"/>
    <s v="R03"/>
    <s v="ST-SYL-03"/>
    <x v="20"/>
    <s v="P001"/>
    <n v="2"/>
    <n v="0.12"/>
    <n v="6934"/>
    <n v="4"/>
    <x v="6"/>
    <s v="Bluetooth Speaker"/>
    <s v="Electronics"/>
    <n v="3240"/>
    <x v="95"/>
    <n v="2200"/>
    <n v="4400"/>
    <n v="2080"/>
    <x v="74"/>
    <x v="20"/>
    <x v="3"/>
    <x v="23"/>
  </r>
  <r>
    <s v="ORD-00379"/>
    <x v="190"/>
    <s v="CUS-MYM-010"/>
    <s v="R08"/>
    <s v="ST-MYM-05"/>
    <x v="43"/>
    <s v="P003"/>
    <n v="2"/>
    <n v="0.15"/>
    <n v="6134"/>
    <n v="5"/>
    <x v="5"/>
    <s v="Power Bank"/>
    <s v="Electronics"/>
    <n v="2840"/>
    <x v="54"/>
    <n v="1930"/>
    <n v="3860"/>
    <n v="1820"/>
    <x v="58"/>
    <x v="43"/>
    <x v="2"/>
    <x v="28"/>
  </r>
  <r>
    <s v="ORD-00380"/>
    <x v="251"/>
    <s v="CUS-CTG-010"/>
    <s v="R02"/>
    <s v="ST-CTG-01"/>
    <x v="39"/>
    <s v="P023"/>
    <n v="2"/>
    <n v="0.03"/>
    <n v="2645"/>
    <n v="4"/>
    <x v="17"/>
    <s v="Body Lotion"/>
    <s v="Beauty &amp; Personal Care"/>
    <n v="1160"/>
    <x v="5"/>
    <n v="670"/>
    <n v="1340"/>
    <n v="980"/>
    <x v="77"/>
    <x v="39"/>
    <x v="7"/>
    <x v="37"/>
  </r>
  <r>
    <s v="ORD-00381"/>
    <x v="144"/>
    <s v="CUS-BAR-002"/>
    <s v="R06"/>
    <s v="ST-BAR-05"/>
    <x v="10"/>
    <s v="P004"/>
    <n v="4"/>
    <n v="0.12"/>
    <n v="17338"/>
    <n v="5"/>
    <x v="5"/>
    <s v="Smart Watch"/>
    <s v="Electronics"/>
    <n v="3870"/>
    <x v="68"/>
    <n v="2630"/>
    <n v="10520"/>
    <n v="4960"/>
    <x v="63"/>
    <x v="10"/>
    <x v="5"/>
    <x v="7"/>
  </r>
  <r>
    <s v="ORD-00382"/>
    <x v="274"/>
    <s v="CUS-MYM-022"/>
    <s v="R08"/>
    <s v="ST-MYM-01"/>
    <x v="31"/>
    <s v="P010"/>
    <n v="2"/>
    <n v="0.18"/>
    <n v="6718"/>
    <n v="7"/>
    <x v="23"/>
    <s v="Table Fan"/>
    <s v="Home Appliance"/>
    <n v="3110"/>
    <x v="127"/>
    <n v="2180"/>
    <n v="4360"/>
    <n v="1860"/>
    <x v="25"/>
    <x v="31"/>
    <x v="2"/>
    <x v="3"/>
  </r>
  <r>
    <s v="ORD-00383"/>
    <x v="275"/>
    <s v="CUS-DHA-022"/>
    <s v="R01"/>
    <s v="ST-DHA-03"/>
    <x v="6"/>
    <s v="P003"/>
    <n v="3"/>
    <n v="0.08"/>
    <n v="9031"/>
    <n v="2"/>
    <x v="18"/>
    <s v="Power Bank"/>
    <s v="Electronics"/>
    <n v="2840"/>
    <x v="3"/>
    <n v="1930"/>
    <n v="5790"/>
    <n v="2730"/>
    <x v="41"/>
    <x v="6"/>
    <x v="4"/>
    <x v="5"/>
  </r>
  <r>
    <s v="ORD-00384"/>
    <x v="276"/>
    <s v="CUS-MYM-018"/>
    <s v="R08"/>
    <s v="ST-MYM-01"/>
    <x v="11"/>
    <s v="P031"/>
    <n v="5"/>
    <n v="0.1"/>
    <n v="14256"/>
    <n v="6"/>
    <x v="16"/>
    <s v="Cricket Bat"/>
    <s v="Sports"/>
    <n v="2640"/>
    <x v="186"/>
    <n v="1640"/>
    <n v="8200"/>
    <n v="5000"/>
    <x v="11"/>
    <x v="11"/>
    <x v="2"/>
    <x v="3"/>
  </r>
  <r>
    <s v="ORD-00385"/>
    <x v="116"/>
    <s v="CUS-KHL-006"/>
    <s v="R05"/>
    <s v="ST-KHL-04"/>
    <x v="13"/>
    <s v="P043"/>
    <n v="5"/>
    <n v="0.12"/>
    <n v="11990"/>
    <n v="4"/>
    <x v="6"/>
    <s v="Puzzle Board"/>
    <s v="Kids &amp; Toys"/>
    <n v="2200"/>
    <x v="187"/>
    <n v="1210"/>
    <n v="6050"/>
    <n v="4950"/>
    <x v="56"/>
    <x v="13"/>
    <x v="6"/>
    <x v="19"/>
  </r>
  <r>
    <s v="ORD-00386"/>
    <x v="277"/>
    <s v="CUS-MYM-017"/>
    <s v="R08"/>
    <s v="ST-MYM-03"/>
    <x v="17"/>
    <s v="P046"/>
    <n v="1"/>
    <n v="0.1"/>
    <n v="4730"/>
    <n v="7"/>
    <x v="12"/>
    <s v="Office Chair"/>
    <s v="Furniture"/>
    <n v="4380"/>
    <x v="147"/>
    <n v="3150"/>
    <n v="3150"/>
    <n v="1230"/>
    <x v="106"/>
    <x v="17"/>
    <x v="2"/>
    <x v="10"/>
  </r>
  <r>
    <s v="ORD-00387"/>
    <x v="252"/>
    <s v="CUS-KHL-014"/>
    <s v="R05"/>
    <s v="ST-KHL-02"/>
    <x v="29"/>
    <s v="P012"/>
    <n v="1"/>
    <n v="0.1"/>
    <n v="1984"/>
    <n v="2"/>
    <x v="24"/>
    <s v="Formal Shirt"/>
    <s v="Fashion"/>
    <n v="1820"/>
    <x v="76"/>
    <n v="1000"/>
    <n v="1000"/>
    <n v="820"/>
    <x v="43"/>
    <x v="29"/>
    <x v="6"/>
    <x v="14"/>
  </r>
  <r>
    <s v="ORD-00388"/>
    <x v="278"/>
    <s v="CUS-KHL-019"/>
    <s v="R05"/>
    <s v="ST-KHL-03"/>
    <x v="24"/>
    <s v="P019"/>
    <n v="1"/>
    <n v="0.02"/>
    <n v="480"/>
    <n v="5"/>
    <x v="3"/>
    <s v="Flour 2kg"/>
    <s v="Grocery"/>
    <n v="440"/>
    <x v="178"/>
    <n v="340"/>
    <n v="340"/>
    <n v="100"/>
    <x v="70"/>
    <x v="24"/>
    <x v="6"/>
    <x v="17"/>
  </r>
  <r>
    <s v="ORD-00389"/>
    <x v="279"/>
    <s v="CUS-KHL-010"/>
    <s v="R05"/>
    <s v="ST-KHL-04"/>
    <x v="45"/>
    <s v="P026"/>
    <n v="2"/>
    <n v="0.1"/>
    <n v="7652"/>
    <n v="5"/>
    <x v="29"/>
    <s v="Running Shoe"/>
    <s v="Footwear"/>
    <n v="3510"/>
    <x v="66"/>
    <n v="2110"/>
    <n v="4220"/>
    <n v="2800"/>
    <x v="51"/>
    <x v="45"/>
    <x v="6"/>
    <x v="19"/>
  </r>
  <r>
    <s v="ORD-00390"/>
    <x v="32"/>
    <s v="CUS-DHA-004"/>
    <s v="R01"/>
    <s v="ST-DHA-03"/>
    <x v="6"/>
    <s v="P050"/>
    <n v="4"/>
    <n v="0.12"/>
    <n v="24889"/>
    <n v="3"/>
    <x v="21"/>
    <s v="Bedside Table"/>
    <s v="Furniture"/>
    <n v="5870"/>
    <x v="142"/>
    <n v="4230"/>
    <n v="16920"/>
    <n v="6560"/>
    <x v="120"/>
    <x v="6"/>
    <x v="4"/>
    <x v="5"/>
  </r>
  <r>
    <s v="ORD-00391"/>
    <x v="280"/>
    <s v="CUS-MYM-019"/>
    <s v="R08"/>
    <s v="ST-MYM-04"/>
    <x v="3"/>
    <s v="P024"/>
    <n v="8"/>
    <n v="0.03"/>
    <n v="12182"/>
    <n v="2"/>
    <x v="15"/>
    <s v="Toothpaste Twin Pack"/>
    <s v="Beauty &amp; Personal Care"/>
    <n v="1410"/>
    <x v="188"/>
    <n v="820"/>
    <n v="6560"/>
    <n v="4720"/>
    <x v="28"/>
    <x v="3"/>
    <x v="2"/>
    <x v="34"/>
  </r>
  <r>
    <s v="ORD-00392"/>
    <x v="281"/>
    <s v="CUS-DHA-009"/>
    <s v="R01"/>
    <s v="ST-DHA-02"/>
    <x v="9"/>
    <s v="P002"/>
    <n v="2"/>
    <n v="0.1"/>
    <n v="7081"/>
    <n v="4"/>
    <x v="6"/>
    <s v="Wireless Mouse"/>
    <s v="Electronics"/>
    <n v="3340"/>
    <x v="15"/>
    <n v="2270"/>
    <n v="4540"/>
    <n v="2140"/>
    <x v="101"/>
    <x v="9"/>
    <x v="4"/>
    <x v="8"/>
  </r>
  <r>
    <s v="ORD-00393"/>
    <x v="142"/>
    <s v="CUS-BAR-006"/>
    <s v="R06"/>
    <s v="ST-BAR-01"/>
    <x v="33"/>
    <s v="P009"/>
    <n v="2"/>
    <n v="0.18"/>
    <n v="10214"/>
    <n v="7"/>
    <x v="23"/>
    <s v="Steam Iron"/>
    <s v="Home Appliance"/>
    <n v="4560"/>
    <x v="138"/>
    <n v="3190"/>
    <n v="6380"/>
    <n v="2740"/>
    <x v="22"/>
    <x v="33"/>
    <x v="5"/>
    <x v="9"/>
  </r>
  <r>
    <s v="ORD-00394"/>
    <x v="31"/>
    <s v="CUS-RAJ-025"/>
    <s v="R04"/>
    <s v="ST-RAJ-02"/>
    <x v="1"/>
    <s v="P022"/>
    <n v="3"/>
    <n v="7.0000000000000007E-2"/>
    <n v="5378"/>
    <n v="3"/>
    <x v="25"/>
    <s v="Shampoo 375ml"/>
    <s v="Beauty &amp; Personal Care"/>
    <n v="1660"/>
    <x v="71"/>
    <n v="960"/>
    <n v="2880"/>
    <n v="2100"/>
    <x v="62"/>
    <x v="1"/>
    <x v="1"/>
    <x v="2"/>
  </r>
  <r>
    <s v="ORD-00395"/>
    <x v="282"/>
    <s v="CUS-KHL-009"/>
    <s v="R05"/>
    <s v="ST-KHL-03"/>
    <x v="45"/>
    <s v="P017"/>
    <n v="5"/>
    <n v="0.02"/>
    <n v="2017"/>
    <n v="1"/>
    <x v="7"/>
    <s v="Soybean Oil 5L"/>
    <s v="Grocery"/>
    <n v="370"/>
    <x v="189"/>
    <n v="290"/>
    <n v="1450"/>
    <n v="400"/>
    <x v="99"/>
    <x v="45"/>
    <x v="6"/>
    <x v="17"/>
  </r>
  <r>
    <s v="ORD-00396"/>
    <x v="283"/>
    <s v="CUS-MYM-014"/>
    <s v="R08"/>
    <s v="ST-MYM-03"/>
    <x v="11"/>
    <s v="P002"/>
    <n v="3"/>
    <n v="0.1"/>
    <n v="10822"/>
    <n v="4"/>
    <x v="6"/>
    <s v="Wireless Mouse"/>
    <s v="Electronics"/>
    <n v="3340"/>
    <x v="134"/>
    <n v="2270"/>
    <n v="6810"/>
    <n v="3210"/>
    <x v="128"/>
    <x v="11"/>
    <x v="2"/>
    <x v="10"/>
  </r>
  <r>
    <s v="ORD-00397"/>
    <x v="284"/>
    <s v="CUS-CTG-014"/>
    <s v="R02"/>
    <s v="ST-CTG-04"/>
    <x v="41"/>
    <s v="P003"/>
    <n v="6"/>
    <n v="0.15"/>
    <n v="19426"/>
    <n v="3"/>
    <x v="17"/>
    <s v="Power Bank"/>
    <s v="Electronics"/>
    <n v="2840"/>
    <x v="165"/>
    <n v="1930"/>
    <n v="11580"/>
    <n v="5460"/>
    <x v="32"/>
    <x v="41"/>
    <x v="7"/>
    <x v="33"/>
  </r>
  <r>
    <s v="ORD-00398"/>
    <x v="141"/>
    <s v="CUS-SYL-015"/>
    <s v="R03"/>
    <s v="ST-SYL-05"/>
    <x v="5"/>
    <s v="P033"/>
    <n v="2"/>
    <n v="0.03"/>
    <n v="6634"/>
    <n v="5"/>
    <x v="19"/>
    <s v="Badminton Racket"/>
    <s v="Sports"/>
    <n v="3100"/>
    <x v="190"/>
    <n v="1920"/>
    <n v="3840"/>
    <n v="2360"/>
    <x v="74"/>
    <x v="5"/>
    <x v="3"/>
    <x v="4"/>
  </r>
  <r>
    <s v="ORD-00399"/>
    <x v="29"/>
    <s v="CUS-CTG-008"/>
    <s v="R02"/>
    <s v="ST-CTG-02"/>
    <x v="37"/>
    <s v="P003"/>
    <n v="2"/>
    <n v="0.1"/>
    <n v="6475"/>
    <n v="5"/>
    <x v="29"/>
    <s v="Power Bank"/>
    <s v="Electronics"/>
    <n v="2840"/>
    <x v="54"/>
    <n v="1930"/>
    <n v="3860"/>
    <n v="1820"/>
    <x v="18"/>
    <x v="37"/>
    <x v="7"/>
    <x v="22"/>
  </r>
  <r>
    <s v="ORD-00400"/>
    <x v="143"/>
    <s v="CUS-CTG-003"/>
    <s v="R02"/>
    <s v="ST-CTG-01"/>
    <x v="39"/>
    <s v="P033"/>
    <n v="1"/>
    <n v="0.03"/>
    <n v="3534"/>
    <n v="6"/>
    <x v="4"/>
    <s v="Badminton Racket"/>
    <s v="Sports"/>
    <n v="3100"/>
    <x v="143"/>
    <n v="1920"/>
    <n v="1920"/>
    <n v="1180"/>
    <x v="27"/>
    <x v="39"/>
    <x v="7"/>
    <x v="37"/>
  </r>
  <r>
    <s v="ORD-00401"/>
    <x v="272"/>
    <s v="CUS-DHA-016"/>
    <s v="R01"/>
    <s v="ST-DHA-01"/>
    <x v="14"/>
    <s v="P001"/>
    <n v="3"/>
    <n v="0.08"/>
    <n v="10303"/>
    <n v="3"/>
    <x v="25"/>
    <s v="Bluetooth Speaker"/>
    <s v="Electronics"/>
    <n v="3240"/>
    <x v="81"/>
    <n v="2200"/>
    <n v="6600"/>
    <n v="3120"/>
    <x v="4"/>
    <x v="14"/>
    <x v="4"/>
    <x v="29"/>
  </r>
  <r>
    <s v="ORD-00402"/>
    <x v="71"/>
    <s v="CUS-RAJ-019"/>
    <s v="R04"/>
    <s v="ST-RAJ-02"/>
    <x v="46"/>
    <s v="P027"/>
    <n v="1"/>
    <n v="7.0000000000000007E-2"/>
    <n v="1307"/>
    <n v="1"/>
    <x v="13"/>
    <s v="Formal Shoe"/>
    <s v="Footwear"/>
    <n v="1210"/>
    <x v="96"/>
    <n v="730"/>
    <n v="730"/>
    <n v="480"/>
    <x v="95"/>
    <x v="46"/>
    <x v="1"/>
    <x v="2"/>
  </r>
  <r>
    <s v="ORD-00403"/>
    <x v="285"/>
    <s v="CUS-BAR-012"/>
    <s v="R06"/>
    <s v="ST-BAR-02"/>
    <x v="12"/>
    <s v="P035"/>
    <n v="3"/>
    <n v="0.03"/>
    <n v="3730"/>
    <n v="7"/>
    <x v="11"/>
    <s v="Dumbbell Set"/>
    <s v="Sports"/>
    <n v="1110"/>
    <x v="89"/>
    <n v="690"/>
    <n v="2070"/>
    <n v="1260"/>
    <x v="72"/>
    <x v="12"/>
    <x v="5"/>
    <x v="11"/>
  </r>
  <r>
    <s v="ORD-00404"/>
    <x v="286"/>
    <s v="CUS-DHA-017"/>
    <s v="R01"/>
    <s v="ST-DHA-02"/>
    <x v="35"/>
    <s v="P004"/>
    <n v="1"/>
    <n v="0.18"/>
    <n v="4102"/>
    <n v="3"/>
    <x v="20"/>
    <s v="Smart Watch"/>
    <s v="Electronics"/>
    <n v="3870"/>
    <x v="80"/>
    <n v="2630"/>
    <n v="2630"/>
    <n v="1240"/>
    <x v="68"/>
    <x v="35"/>
    <x v="4"/>
    <x v="8"/>
  </r>
  <r>
    <s v="ORD-00405"/>
    <x v="97"/>
    <s v="CUS-DHA-024"/>
    <s v="R01"/>
    <s v="ST-DHA-01"/>
    <x v="28"/>
    <s v="P045"/>
    <n v="2"/>
    <n v="0.12"/>
    <n v="1781"/>
    <n v="3"/>
    <x v="21"/>
    <s v="Kids Story Book"/>
    <s v="Kids &amp; Toys"/>
    <n v="840"/>
    <x v="168"/>
    <n v="460"/>
    <n v="920"/>
    <n v="760"/>
    <x v="48"/>
    <x v="28"/>
    <x v="4"/>
    <x v="29"/>
  </r>
  <r>
    <s v="ORD-00406"/>
    <x v="100"/>
    <s v="CUS-CTG-006"/>
    <s v="R02"/>
    <s v="ST-CTG-03"/>
    <x v="39"/>
    <s v="P011"/>
    <n v="1"/>
    <n v="0.03"/>
    <n v="2132"/>
    <n v="7"/>
    <x v="11"/>
    <s v="Cotton T-Shirt"/>
    <s v="Fashion"/>
    <n v="1870"/>
    <x v="43"/>
    <n v="1030"/>
    <n v="1030"/>
    <n v="840"/>
    <x v="96"/>
    <x v="39"/>
    <x v="7"/>
    <x v="16"/>
  </r>
  <r>
    <s v="ORD-00407"/>
    <x v="287"/>
    <s v="CUS-BAR-004"/>
    <s v="R06"/>
    <s v="ST-BAR-04"/>
    <x v="47"/>
    <s v="P016"/>
    <n v="4"/>
    <n v="0.03"/>
    <n v="4973"/>
    <n v="5"/>
    <x v="19"/>
    <s v="Premium Rice 5kg"/>
    <s v="Grocery"/>
    <n v="1110"/>
    <x v="52"/>
    <n v="870"/>
    <n v="3480"/>
    <n v="960"/>
    <x v="61"/>
    <x v="47"/>
    <x v="5"/>
    <x v="12"/>
  </r>
  <r>
    <s v="ORD-00408"/>
    <x v="288"/>
    <s v="CUS-BAR-016"/>
    <s v="R06"/>
    <s v="ST-BAR-01"/>
    <x v="22"/>
    <s v="P006"/>
    <n v="4"/>
    <n v="0.15"/>
    <n v="32256"/>
    <n v="7"/>
    <x v="23"/>
    <s v="Electric Kettle"/>
    <s v="Home Appliance"/>
    <n v="7200"/>
    <x v="113"/>
    <n v="5040"/>
    <n v="20160"/>
    <n v="8640"/>
    <x v="38"/>
    <x v="22"/>
    <x v="5"/>
    <x v="9"/>
  </r>
  <r>
    <s v="ORD-00409"/>
    <x v="289"/>
    <s v="CUS-RAJ-018"/>
    <s v="R04"/>
    <s v="ST-RAJ-04"/>
    <x v="26"/>
    <s v="P049"/>
    <n v="1"/>
    <n v="0.1"/>
    <n v="4568"/>
    <n v="8"/>
    <x v="27"/>
    <s v="Bookshelf"/>
    <s v="Furniture"/>
    <n v="4230"/>
    <x v="9"/>
    <n v="3050"/>
    <n v="3050"/>
    <n v="1180"/>
    <x v="64"/>
    <x v="26"/>
    <x v="1"/>
    <x v="1"/>
  </r>
  <r>
    <s v="ORD-00410"/>
    <x v="68"/>
    <s v="CUS-DHA-022"/>
    <s v="R01"/>
    <s v="ST-DHA-04"/>
    <x v="35"/>
    <s v="P002"/>
    <n v="5"/>
    <n v="0.08"/>
    <n v="17702"/>
    <n v="1"/>
    <x v="13"/>
    <s v="Wireless Mouse"/>
    <s v="Electronics"/>
    <n v="3340"/>
    <x v="164"/>
    <n v="2270"/>
    <n v="11350"/>
    <n v="5350"/>
    <x v="41"/>
    <x v="35"/>
    <x v="4"/>
    <x v="35"/>
  </r>
  <r>
    <s v="ORD-00411"/>
    <x v="290"/>
    <s v="CUS-CTG-005"/>
    <s v="R02"/>
    <s v="ST-CTG-04"/>
    <x v="39"/>
    <s v="P029"/>
    <n v="4"/>
    <n v="0.03"/>
    <n v="12221"/>
    <n v="4"/>
    <x v="17"/>
    <s v="Kids Sneaker"/>
    <s v="Footwear"/>
    <n v="2680"/>
    <x v="14"/>
    <n v="1610"/>
    <n v="6440"/>
    <n v="4280"/>
    <x v="46"/>
    <x v="39"/>
    <x v="7"/>
    <x v="33"/>
  </r>
  <r>
    <s v="ORD-00412"/>
    <x v="291"/>
    <s v="CUS-RAJ-020"/>
    <s v="R04"/>
    <s v="ST-RAJ-04"/>
    <x v="1"/>
    <s v="P005"/>
    <n v="5"/>
    <n v="0.18"/>
    <n v="26406"/>
    <n v="5"/>
    <x v="4"/>
    <s v="USB-C Hub"/>
    <s v="Electronics"/>
    <n v="4890"/>
    <x v="103"/>
    <n v="3330"/>
    <n v="16650"/>
    <n v="7800"/>
    <x v="118"/>
    <x v="1"/>
    <x v="1"/>
    <x v="1"/>
  </r>
  <r>
    <s v="ORD-00413"/>
    <x v="103"/>
    <s v="CUS-KHL-025"/>
    <s v="R05"/>
    <s v="ST-KHL-04"/>
    <x v="16"/>
    <s v="P013"/>
    <n v="10"/>
    <n v="0.12"/>
    <n v="21691"/>
    <n v="2"/>
    <x v="24"/>
    <s v="Women Kurti"/>
    <s v="Fashion"/>
    <n v="1990"/>
    <x v="191"/>
    <n v="1090"/>
    <n v="10900"/>
    <n v="9000"/>
    <x v="81"/>
    <x v="16"/>
    <x v="6"/>
    <x v="19"/>
  </r>
  <r>
    <s v="ORD-00414"/>
    <x v="119"/>
    <s v="CUS-CTG-004"/>
    <s v="R02"/>
    <s v="ST-CTG-03"/>
    <x v="39"/>
    <s v="P014"/>
    <n v="1"/>
    <n v="0.03"/>
    <n v="1003"/>
    <n v="8"/>
    <x v="23"/>
    <s v="Denim Jeans"/>
    <s v="Fashion"/>
    <n v="880"/>
    <x v="192"/>
    <n v="480"/>
    <n v="480"/>
    <n v="400"/>
    <x v="57"/>
    <x v="39"/>
    <x v="7"/>
    <x v="16"/>
  </r>
  <r>
    <s v="ORD-00415"/>
    <x v="267"/>
    <s v="CUS-CTG-016"/>
    <s v="R02"/>
    <s v="ST-CTG-01"/>
    <x v="23"/>
    <s v="P009"/>
    <n v="3"/>
    <n v="0.18"/>
    <n v="15595"/>
    <n v="8"/>
    <x v="9"/>
    <s v="Steam Iron"/>
    <s v="Home Appliance"/>
    <n v="4560"/>
    <x v="6"/>
    <n v="3190"/>
    <n v="9570"/>
    <n v="4110"/>
    <x v="115"/>
    <x v="23"/>
    <x v="7"/>
    <x v="37"/>
  </r>
  <r>
    <s v="ORD-00416"/>
    <x v="274"/>
    <s v="CUS-MYM-015"/>
    <s v="R08"/>
    <s v="ST-MYM-02"/>
    <x v="3"/>
    <s v="P026"/>
    <n v="3"/>
    <n v="0.12"/>
    <n v="11372"/>
    <n v="4"/>
    <x v="6"/>
    <s v="Running Shoe"/>
    <s v="Footwear"/>
    <n v="3510"/>
    <x v="193"/>
    <n v="2110"/>
    <n v="6330"/>
    <n v="4200"/>
    <x v="126"/>
    <x v="3"/>
    <x v="2"/>
    <x v="20"/>
  </r>
  <r>
    <s v="ORD-00417"/>
    <x v="166"/>
    <s v="CUS-BAR-018"/>
    <s v="R06"/>
    <s v="ST-BAR-05"/>
    <x v="47"/>
    <s v="P047"/>
    <n v="10"/>
    <n v="0.03"/>
    <n v="130816"/>
    <n v="6"/>
    <x v="4"/>
    <s v="Study Table"/>
    <s v="Furniture"/>
    <n v="11680"/>
    <x v="78"/>
    <n v="8410"/>
    <n v="84100"/>
    <n v="32700"/>
    <x v="21"/>
    <x v="47"/>
    <x v="5"/>
    <x v="7"/>
  </r>
  <r>
    <s v="ORD-00418"/>
    <x v="292"/>
    <s v="CUS-RAN-015"/>
    <s v="R07"/>
    <s v="ST-RAN-04"/>
    <x v="7"/>
    <s v="P001"/>
    <n v="6"/>
    <n v="0.1"/>
    <n v="22356"/>
    <n v="7"/>
    <x v="12"/>
    <s v="Bluetooth Speaker"/>
    <s v="Electronics"/>
    <n v="3240"/>
    <x v="82"/>
    <n v="2200"/>
    <n v="13200"/>
    <n v="6240"/>
    <x v="129"/>
    <x v="7"/>
    <x v="0"/>
    <x v="13"/>
  </r>
  <r>
    <s v="ORD-00419"/>
    <x v="293"/>
    <s v="CUS-MYM-014"/>
    <s v="R08"/>
    <s v="ST-MYM-02"/>
    <x v="3"/>
    <s v="P030"/>
    <n v="4"/>
    <n v="0.12"/>
    <n v="8078"/>
    <n v="3"/>
    <x v="21"/>
    <s v="Casual Loafer"/>
    <s v="Footwear"/>
    <n v="1870"/>
    <x v="35"/>
    <n v="1120"/>
    <n v="4480"/>
    <n v="3000"/>
    <x v="128"/>
    <x v="3"/>
    <x v="2"/>
    <x v="20"/>
  </r>
  <r>
    <s v="ORD-00420"/>
    <x v="16"/>
    <s v="CUS-MYM-016"/>
    <s v="R08"/>
    <s v="ST-MYM-05"/>
    <x v="11"/>
    <s v="P015"/>
    <n v="2"/>
    <n v="0.12"/>
    <n v="5659"/>
    <n v="2"/>
    <x v="24"/>
    <s v="Leather Belt"/>
    <s v="Fashion"/>
    <n v="2620"/>
    <x v="162"/>
    <n v="1440"/>
    <n v="2880"/>
    <n v="2360"/>
    <x v="61"/>
    <x v="11"/>
    <x v="2"/>
    <x v="28"/>
  </r>
  <r>
    <s v="ORD-00421"/>
    <x v="294"/>
    <s v="CUS-RAN-020"/>
    <s v="R07"/>
    <s v="ST-RAN-03"/>
    <x v="42"/>
    <s v="P007"/>
    <n v="3"/>
    <n v="0.1"/>
    <n v="25633"/>
    <n v="9"/>
    <x v="32"/>
    <s v="Rice Cooker"/>
    <s v="Home Appliance"/>
    <n v="7430"/>
    <x v="88"/>
    <n v="5200"/>
    <n v="15600"/>
    <n v="6690"/>
    <x v="35"/>
    <x v="42"/>
    <x v="0"/>
    <x v="26"/>
  </r>
  <r>
    <s v="ORD-00422"/>
    <x v="238"/>
    <s v="CUS-DHA-025"/>
    <s v="R01"/>
    <s v="ST-DHA-03"/>
    <x v="6"/>
    <s v="P002"/>
    <n v="11"/>
    <n v="0.12"/>
    <n v="38944"/>
    <n v="1"/>
    <x v="1"/>
    <s v="Wireless Mouse"/>
    <s v="Electronics"/>
    <n v="3340"/>
    <x v="194"/>
    <n v="2270"/>
    <n v="24970"/>
    <n v="11770"/>
    <x v="9"/>
    <x v="6"/>
    <x v="4"/>
    <x v="5"/>
  </r>
  <r>
    <s v="ORD-00423"/>
    <x v="288"/>
    <s v="CUS-DHA-022"/>
    <s v="R01"/>
    <s v="ST-DHA-02"/>
    <x v="28"/>
    <s v="P005"/>
    <n v="3"/>
    <n v="0.08"/>
    <n v="15550"/>
    <n v="3"/>
    <x v="25"/>
    <s v="USB-C Hub"/>
    <s v="Electronics"/>
    <n v="4890"/>
    <x v="27"/>
    <n v="3330"/>
    <n v="9990"/>
    <n v="4680"/>
    <x v="41"/>
    <x v="28"/>
    <x v="4"/>
    <x v="8"/>
  </r>
  <r>
    <s v="ORD-00424"/>
    <x v="295"/>
    <s v="CUS-SYL-001"/>
    <s v="R03"/>
    <s v="ST-SYL-05"/>
    <x v="38"/>
    <s v="P001"/>
    <n v="4"/>
    <n v="0.12"/>
    <n v="13867"/>
    <n v="2"/>
    <x v="24"/>
    <s v="Bluetooth Speaker"/>
    <s v="Electronics"/>
    <n v="3240"/>
    <x v="24"/>
    <n v="2200"/>
    <n v="8800"/>
    <n v="4160"/>
    <x v="82"/>
    <x v="38"/>
    <x v="3"/>
    <x v="4"/>
  </r>
  <r>
    <s v="ORD-00425"/>
    <x v="296"/>
    <s v="CUS-DHA-023"/>
    <s v="R01"/>
    <s v="ST-DHA-04"/>
    <x v="9"/>
    <s v="P001"/>
    <n v="2"/>
    <n v="0.15"/>
    <n v="6869"/>
    <n v="2"/>
    <x v="10"/>
    <s v="Bluetooth Speaker"/>
    <s v="Electronics"/>
    <n v="3240"/>
    <x v="95"/>
    <n v="2200"/>
    <n v="4400"/>
    <n v="2080"/>
    <x v="103"/>
    <x v="9"/>
    <x v="4"/>
    <x v="35"/>
  </r>
  <r>
    <s v="ORD-00426"/>
    <x v="297"/>
    <s v="CUS-MYM-004"/>
    <s v="R08"/>
    <s v="ST-MYM-02"/>
    <x v="3"/>
    <s v="P014"/>
    <n v="2"/>
    <n v="7.0000000000000007E-2"/>
    <n v="1901"/>
    <n v="5"/>
    <x v="29"/>
    <s v="Denim Jeans"/>
    <s v="Fashion"/>
    <n v="880"/>
    <x v="91"/>
    <n v="480"/>
    <n v="960"/>
    <n v="800"/>
    <x v="92"/>
    <x v="3"/>
    <x v="2"/>
    <x v="20"/>
  </r>
  <r>
    <s v="ORD-00427"/>
    <x v="298"/>
    <s v="CUS-RAN-007"/>
    <s v="R07"/>
    <s v="ST-RAN-04"/>
    <x v="0"/>
    <s v="P040"/>
    <n v="7"/>
    <n v="0.02"/>
    <n v="6118"/>
    <n v="6"/>
    <x v="4"/>
    <s v="Sticky Notes"/>
    <s v="Stationery"/>
    <n v="760"/>
    <x v="133"/>
    <n v="380"/>
    <n v="2660"/>
    <n v="2660"/>
    <x v="30"/>
    <x v="0"/>
    <x v="0"/>
    <x v="13"/>
  </r>
  <r>
    <s v="ORD-00428"/>
    <x v="73"/>
    <s v="CUS-RAN-008"/>
    <s v="R07"/>
    <s v="ST-RAN-05"/>
    <x v="0"/>
    <s v="P047"/>
    <n v="4"/>
    <n v="0.03"/>
    <n v="53728"/>
    <n v="9"/>
    <x v="22"/>
    <s v="Study Table"/>
    <s v="Furniture"/>
    <n v="11680"/>
    <x v="195"/>
    <n v="8410"/>
    <n v="33640"/>
    <n v="13080"/>
    <x v="26"/>
    <x v="0"/>
    <x v="0"/>
    <x v="39"/>
  </r>
  <r>
    <s v="ORD-00429"/>
    <x v="14"/>
    <s v="CUS-MYM-014"/>
    <s v="R08"/>
    <s v="ST-MYM-02"/>
    <x v="3"/>
    <s v="P036"/>
    <n v="3"/>
    <n v="0.03"/>
    <n v="1296"/>
    <n v="2"/>
    <x v="15"/>
    <s v="Notebook Pack"/>
    <s v="Stationery"/>
    <n v="400"/>
    <x v="196"/>
    <n v="200"/>
    <n v="600"/>
    <n v="600"/>
    <x v="128"/>
    <x v="3"/>
    <x v="2"/>
    <x v="20"/>
  </r>
  <r>
    <s v="ORD-00430"/>
    <x v="210"/>
    <s v="CUS-RAJ-014"/>
    <s v="R04"/>
    <s v="ST-RAJ-04"/>
    <x v="26"/>
    <s v="P023"/>
    <n v="5"/>
    <n v="0.05"/>
    <n v="6264"/>
    <n v="5"/>
    <x v="19"/>
    <s v="Body Lotion"/>
    <s v="Beauty &amp; Personal Care"/>
    <n v="1160"/>
    <x v="197"/>
    <n v="670"/>
    <n v="3350"/>
    <n v="2450"/>
    <x v="49"/>
    <x v="26"/>
    <x v="1"/>
    <x v="1"/>
  </r>
  <r>
    <s v="ORD-00431"/>
    <x v="299"/>
    <s v="CUS-DHA-021"/>
    <s v="R01"/>
    <s v="ST-DHA-05"/>
    <x v="28"/>
    <s v="P020"/>
    <n v="3"/>
    <n v="0.05"/>
    <n v="6805"/>
    <n v="2"/>
    <x v="15"/>
    <s v="Tea Pack 500g"/>
    <s v="Grocery"/>
    <n v="2140"/>
    <x v="198"/>
    <n v="1670"/>
    <n v="5010"/>
    <n v="1410"/>
    <x v="111"/>
    <x v="28"/>
    <x v="4"/>
    <x v="15"/>
  </r>
  <r>
    <s v="ORD-00432"/>
    <x v="300"/>
    <s v="CUS-RAN-019"/>
    <s v="R07"/>
    <s v="ST-RAN-01"/>
    <x v="21"/>
    <s v="P004"/>
    <n v="1"/>
    <n v="0.12"/>
    <n v="4450"/>
    <n v="9"/>
    <x v="32"/>
    <s v="Smart Watch"/>
    <s v="Electronics"/>
    <n v="3870"/>
    <x v="80"/>
    <n v="2630"/>
    <n v="2630"/>
    <n v="1240"/>
    <x v="93"/>
    <x v="21"/>
    <x v="0"/>
    <x v="0"/>
  </r>
  <r>
    <s v="ORD-00433"/>
    <x v="237"/>
    <s v="CUS-RAN-014"/>
    <s v="R07"/>
    <s v="ST-RAN-03"/>
    <x v="7"/>
    <s v="P024"/>
    <n v="2"/>
    <n v="7.0000000000000007E-2"/>
    <n v="3243"/>
    <n v="5"/>
    <x v="29"/>
    <s v="Toothpaste Twin Pack"/>
    <s v="Beauty &amp; Personal Care"/>
    <n v="1410"/>
    <x v="199"/>
    <n v="820"/>
    <n v="1640"/>
    <n v="1180"/>
    <x v="7"/>
    <x v="7"/>
    <x v="0"/>
    <x v="26"/>
  </r>
  <r>
    <s v="ORD-00434"/>
    <x v="294"/>
    <s v="CUS-RAJ-013"/>
    <s v="R04"/>
    <s v="ST-RAJ-02"/>
    <x v="1"/>
    <s v="P003"/>
    <n v="1"/>
    <n v="0.12"/>
    <n v="3067"/>
    <n v="3"/>
    <x v="21"/>
    <s v="Power Bank"/>
    <s v="Electronics"/>
    <n v="2840"/>
    <x v="53"/>
    <n v="1930"/>
    <n v="1930"/>
    <n v="910"/>
    <x v="130"/>
    <x v="1"/>
    <x v="1"/>
    <x v="2"/>
  </r>
  <r>
    <s v="ORD-00435"/>
    <x v="301"/>
    <s v="CUS-MYM-016"/>
    <s v="R08"/>
    <s v="ST-MYM-05"/>
    <x v="19"/>
    <s v="P011"/>
    <n v="1"/>
    <n v="7.0000000000000007E-2"/>
    <n v="2020"/>
    <n v="5"/>
    <x v="29"/>
    <s v="Cotton T-Shirt"/>
    <s v="Fashion"/>
    <n v="1870"/>
    <x v="43"/>
    <n v="1030"/>
    <n v="1030"/>
    <n v="840"/>
    <x v="61"/>
    <x v="19"/>
    <x v="2"/>
    <x v="28"/>
  </r>
  <r>
    <s v="ORD-00436"/>
    <x v="143"/>
    <s v="CUS-KHL-022"/>
    <s v="R05"/>
    <s v="ST-KHL-05"/>
    <x v="36"/>
    <s v="P025"/>
    <n v="8"/>
    <n v="0.1"/>
    <n v="10987"/>
    <n v="4"/>
    <x v="6"/>
    <s v="Perfume Spray"/>
    <s v="Beauty &amp; Personal Care"/>
    <n v="1260"/>
    <x v="119"/>
    <n v="730"/>
    <n v="5840"/>
    <n v="4240"/>
    <x v="24"/>
    <x v="36"/>
    <x v="6"/>
    <x v="30"/>
  </r>
  <r>
    <s v="ORD-00437"/>
    <x v="302"/>
    <s v="CUS-DHA-002"/>
    <s v="R01"/>
    <s v="ST-DHA-01"/>
    <x v="14"/>
    <s v="P022"/>
    <n v="7"/>
    <n v="7.0000000000000007E-2"/>
    <n v="12317"/>
    <n v="1"/>
    <x v="13"/>
    <s v="Shampoo 375ml"/>
    <s v="Beauty &amp; Personal Care"/>
    <n v="1660"/>
    <x v="200"/>
    <n v="960"/>
    <n v="6720"/>
    <n v="4900"/>
    <x v="86"/>
    <x v="14"/>
    <x v="4"/>
    <x v="29"/>
  </r>
  <r>
    <s v="ORD-00438"/>
    <x v="218"/>
    <s v="CUS-RAN-024"/>
    <s v="R07"/>
    <s v="ST-RAN-02"/>
    <x v="27"/>
    <s v="P003"/>
    <n v="6"/>
    <n v="0.18"/>
    <n v="19596"/>
    <n v="3"/>
    <x v="20"/>
    <s v="Power Bank"/>
    <s v="Electronics"/>
    <n v="2840"/>
    <x v="165"/>
    <n v="1930"/>
    <n v="11580"/>
    <n v="5460"/>
    <x v="104"/>
    <x v="27"/>
    <x v="0"/>
    <x v="6"/>
  </r>
  <r>
    <s v="ORD-00439"/>
    <x v="91"/>
    <s v="CUS-KHL-016"/>
    <s v="R05"/>
    <s v="ST-KHL-01"/>
    <x v="36"/>
    <s v="P022"/>
    <n v="2"/>
    <n v="0.12"/>
    <n v="3619"/>
    <n v="3"/>
    <x v="21"/>
    <s v="Shampoo 375ml"/>
    <s v="Beauty &amp; Personal Care"/>
    <n v="1660"/>
    <x v="110"/>
    <n v="960"/>
    <n v="1920"/>
    <n v="1400"/>
    <x v="54"/>
    <x v="36"/>
    <x v="6"/>
    <x v="24"/>
  </r>
  <r>
    <s v="ORD-00440"/>
    <x v="303"/>
    <s v="CUS-RAJ-014"/>
    <s v="R04"/>
    <s v="ST-RAJ-02"/>
    <x v="46"/>
    <s v="P002"/>
    <n v="8"/>
    <n v="0.15"/>
    <n v="28858"/>
    <n v="1"/>
    <x v="1"/>
    <s v="Wireless Mouse"/>
    <s v="Electronics"/>
    <n v="3340"/>
    <x v="170"/>
    <n v="2270"/>
    <n v="18160"/>
    <n v="8560"/>
    <x v="49"/>
    <x v="46"/>
    <x v="1"/>
    <x v="2"/>
  </r>
  <r>
    <s v="ORD-00441"/>
    <x v="217"/>
    <s v="CUS-RAN-009"/>
    <s v="R07"/>
    <s v="ST-RAN-05"/>
    <x v="7"/>
    <s v="P014"/>
    <n v="4"/>
    <n v="0.03"/>
    <n v="4048"/>
    <n v="5"/>
    <x v="19"/>
    <s v="Denim Jeans"/>
    <s v="Fashion"/>
    <n v="880"/>
    <x v="32"/>
    <n v="480"/>
    <n v="1920"/>
    <n v="1600"/>
    <x v="7"/>
    <x v="7"/>
    <x v="0"/>
    <x v="39"/>
  </r>
  <r>
    <s v="ORD-00442"/>
    <x v="304"/>
    <s v="CUS-RAJ-009"/>
    <s v="R04"/>
    <s v="ST-RAJ-02"/>
    <x v="26"/>
    <s v="P013"/>
    <n v="5"/>
    <n v="0.03"/>
    <n v="10746"/>
    <n v="6"/>
    <x v="4"/>
    <s v="Women Kurti"/>
    <s v="Fashion"/>
    <n v="1990"/>
    <x v="201"/>
    <n v="1090"/>
    <n v="5450"/>
    <n v="4500"/>
    <x v="76"/>
    <x v="26"/>
    <x v="1"/>
    <x v="2"/>
  </r>
  <r>
    <s v="ORD-00443"/>
    <x v="305"/>
    <s v="CUS-DHA-024"/>
    <s v="R01"/>
    <s v="ST-DHA-01"/>
    <x v="35"/>
    <s v="P045"/>
    <n v="2"/>
    <n v="0.1"/>
    <n v="1781"/>
    <n v="1"/>
    <x v="13"/>
    <s v="Kids Story Book"/>
    <s v="Kids &amp; Toys"/>
    <n v="840"/>
    <x v="168"/>
    <n v="460"/>
    <n v="920"/>
    <n v="760"/>
    <x v="48"/>
    <x v="35"/>
    <x v="4"/>
    <x v="29"/>
  </r>
  <r>
    <s v="ORD-00444"/>
    <x v="37"/>
    <s v="CUS-BAR-022"/>
    <s v="R06"/>
    <s v="ST-BAR-01"/>
    <x v="12"/>
    <s v="P041"/>
    <n v="3"/>
    <n v="7.0000000000000007E-2"/>
    <n v="2822"/>
    <n v="9"/>
    <x v="9"/>
    <s v="Building Blocks"/>
    <s v="Kids &amp; Toys"/>
    <n v="840"/>
    <x v="17"/>
    <n v="460"/>
    <n v="1380"/>
    <n v="1140"/>
    <x v="114"/>
    <x v="12"/>
    <x v="5"/>
    <x v="9"/>
  </r>
  <r>
    <s v="ORD-00445"/>
    <x v="306"/>
    <s v="CUS-KHL-003"/>
    <s v="R05"/>
    <s v="ST-KHL-02"/>
    <x v="16"/>
    <s v="P004"/>
    <n v="6"/>
    <n v="0.12"/>
    <n v="25310"/>
    <n v="5"/>
    <x v="5"/>
    <s v="Smart Watch"/>
    <s v="Electronics"/>
    <n v="3870"/>
    <x v="176"/>
    <n v="2630"/>
    <n v="15780"/>
    <n v="7440"/>
    <x v="85"/>
    <x v="16"/>
    <x v="6"/>
    <x v="14"/>
  </r>
  <r>
    <s v="ORD-00446"/>
    <x v="307"/>
    <s v="CUS-RAN-002"/>
    <s v="R07"/>
    <s v="ST-RAN-03"/>
    <x v="7"/>
    <s v="P038"/>
    <n v="2"/>
    <n v="0.05"/>
    <n v="782"/>
    <n v="4"/>
    <x v="20"/>
    <s v="Office File Set"/>
    <s v="Stationery"/>
    <n v="340"/>
    <x v="159"/>
    <n v="170"/>
    <n v="340"/>
    <n v="340"/>
    <x v="12"/>
    <x v="7"/>
    <x v="0"/>
    <x v="26"/>
  </r>
  <r>
    <s v="ORD-00447"/>
    <x v="308"/>
    <s v="CUS-BAR-023"/>
    <s v="R06"/>
    <s v="ST-BAR-04"/>
    <x v="47"/>
    <s v="P038"/>
    <n v="3"/>
    <n v="0.03"/>
    <n v="1142"/>
    <n v="2"/>
    <x v="15"/>
    <s v="Office File Set"/>
    <s v="Stationery"/>
    <n v="340"/>
    <x v="93"/>
    <n v="170"/>
    <n v="510"/>
    <n v="510"/>
    <x v="14"/>
    <x v="47"/>
    <x v="5"/>
    <x v="12"/>
  </r>
  <r>
    <s v="ORD-00448"/>
    <x v="309"/>
    <s v="CUS-BAR-015"/>
    <s v="R06"/>
    <s v="ST-BAR-01"/>
    <x v="47"/>
    <s v="P025"/>
    <n v="3"/>
    <n v="0.05"/>
    <n v="4234"/>
    <n v="6"/>
    <x v="4"/>
    <s v="Perfume Spray"/>
    <s v="Beauty &amp; Personal Care"/>
    <n v="1260"/>
    <x v="202"/>
    <n v="730"/>
    <n v="2190"/>
    <n v="1590"/>
    <x v="69"/>
    <x v="47"/>
    <x v="5"/>
    <x v="9"/>
  </r>
  <r>
    <s v="ORD-00449"/>
    <x v="236"/>
    <s v="CUS-DHA-013"/>
    <s v="R01"/>
    <s v="ST-DHA-02"/>
    <x v="35"/>
    <s v="P006"/>
    <n v="1"/>
    <n v="0.18"/>
    <n v="7632"/>
    <n v="3"/>
    <x v="20"/>
    <s v="Electric Kettle"/>
    <s v="Home Appliance"/>
    <n v="7200"/>
    <x v="0"/>
    <n v="5040"/>
    <n v="5040"/>
    <n v="2160"/>
    <x v="6"/>
    <x v="35"/>
    <x v="4"/>
    <x v="8"/>
  </r>
  <r>
    <s v="ORD-00450"/>
    <x v="310"/>
    <s v="CUS-SYL-020"/>
    <s v="R03"/>
    <s v="ST-SYL-04"/>
    <x v="38"/>
    <s v="P012"/>
    <n v="2"/>
    <n v="0.12"/>
    <n v="3895"/>
    <n v="1"/>
    <x v="1"/>
    <s v="Formal Shirt"/>
    <s v="Fashion"/>
    <n v="1820"/>
    <x v="48"/>
    <n v="1000"/>
    <n v="2000"/>
    <n v="1640"/>
    <x v="33"/>
    <x v="38"/>
    <x v="3"/>
    <x v="21"/>
  </r>
  <r>
    <s v="ORD-00451"/>
    <x v="122"/>
    <s v="CUS-BAR-010"/>
    <s v="R06"/>
    <s v="ST-BAR-02"/>
    <x v="47"/>
    <s v="P010"/>
    <n v="2"/>
    <n v="0.15"/>
    <n v="6966"/>
    <n v="11"/>
    <x v="34"/>
    <s v="Table Fan"/>
    <s v="Home Appliance"/>
    <n v="3110"/>
    <x v="127"/>
    <n v="2180"/>
    <n v="4360"/>
    <n v="1860"/>
    <x v="63"/>
    <x v="47"/>
    <x v="5"/>
    <x v="11"/>
  </r>
  <r>
    <s v="ORD-00452"/>
    <x v="148"/>
    <s v="CUS-RAJ-001"/>
    <s v="R04"/>
    <s v="ST-RAJ-01"/>
    <x v="40"/>
    <s v="P025"/>
    <n v="6"/>
    <n v="0.1"/>
    <n v="8165"/>
    <n v="3"/>
    <x v="21"/>
    <s v="Perfume Spray"/>
    <s v="Beauty &amp; Personal Care"/>
    <n v="1260"/>
    <x v="203"/>
    <n v="730"/>
    <n v="4380"/>
    <n v="3180"/>
    <x v="102"/>
    <x v="40"/>
    <x v="1"/>
    <x v="36"/>
  </r>
  <r>
    <s v="ORD-00453"/>
    <x v="57"/>
    <s v="CUS-RAJ-009"/>
    <s v="R04"/>
    <s v="ST-RAJ-02"/>
    <x v="1"/>
    <s v="P010"/>
    <n v="3"/>
    <n v="0.08"/>
    <n v="10076"/>
    <n v="7"/>
    <x v="2"/>
    <s v="Table Fan"/>
    <s v="Home Appliance"/>
    <n v="3110"/>
    <x v="28"/>
    <n v="2180"/>
    <n v="6540"/>
    <n v="2790"/>
    <x v="76"/>
    <x v="1"/>
    <x v="1"/>
    <x v="2"/>
  </r>
  <r>
    <s v="ORD-00454"/>
    <x v="210"/>
    <s v="CUS-CTG-001"/>
    <s v="R02"/>
    <s v="ST-CTG-05"/>
    <x v="39"/>
    <s v="P034"/>
    <n v="6"/>
    <n v="0.03"/>
    <n v="18673"/>
    <n v="5"/>
    <x v="19"/>
    <s v="Yoga Mat"/>
    <s v="Sports"/>
    <n v="2730"/>
    <x v="90"/>
    <n v="1690"/>
    <n v="10140"/>
    <n v="6240"/>
    <x v="107"/>
    <x v="39"/>
    <x v="7"/>
    <x v="31"/>
  </r>
  <r>
    <s v="ORD-00455"/>
    <x v="311"/>
    <s v="CUS-RAJ-023"/>
    <s v="R04"/>
    <s v="ST-RAJ-02"/>
    <x v="46"/>
    <s v="P047"/>
    <n v="2"/>
    <n v="0.1"/>
    <n v="25229"/>
    <n v="5"/>
    <x v="29"/>
    <s v="Study Table"/>
    <s v="Furniture"/>
    <n v="11680"/>
    <x v="167"/>
    <n v="8410"/>
    <n v="16820"/>
    <n v="6540"/>
    <x v="50"/>
    <x v="46"/>
    <x v="1"/>
    <x v="2"/>
  </r>
  <r>
    <s v="ORD-00456"/>
    <x v="312"/>
    <s v="CUS-RAJ-020"/>
    <s v="R04"/>
    <s v="ST-RAJ-02"/>
    <x v="26"/>
    <s v="P031"/>
    <n v="2"/>
    <n v="0.1"/>
    <n v="5702"/>
    <n v="5"/>
    <x v="29"/>
    <s v="Cricket Bat"/>
    <s v="Sports"/>
    <n v="2640"/>
    <x v="151"/>
    <n v="1640"/>
    <n v="3280"/>
    <n v="2000"/>
    <x v="118"/>
    <x v="26"/>
    <x v="1"/>
    <x v="2"/>
  </r>
  <r>
    <s v="ORD-00457"/>
    <x v="153"/>
    <s v="CUS-SYL-001"/>
    <s v="R03"/>
    <s v="ST-SYL-03"/>
    <x v="38"/>
    <s v="P005"/>
    <n v="7"/>
    <n v="0.18"/>
    <n v="36626"/>
    <n v="2"/>
    <x v="10"/>
    <s v="USB-C Hub"/>
    <s v="Electronics"/>
    <n v="4890"/>
    <x v="204"/>
    <n v="3330"/>
    <n v="23310"/>
    <n v="10920"/>
    <x v="82"/>
    <x v="38"/>
    <x v="3"/>
    <x v="23"/>
  </r>
  <r>
    <s v="ORD-00458"/>
    <x v="131"/>
    <s v="CUS-DHA-016"/>
    <s v="R01"/>
    <s v="ST-DHA-02"/>
    <x v="14"/>
    <s v="P049"/>
    <n v="4"/>
    <n v="0.1"/>
    <n v="17935"/>
    <n v="2"/>
    <x v="24"/>
    <s v="Bookshelf"/>
    <s v="Furniture"/>
    <n v="4230"/>
    <x v="205"/>
    <n v="3050"/>
    <n v="12200"/>
    <n v="4720"/>
    <x v="4"/>
    <x v="14"/>
    <x v="4"/>
    <x v="8"/>
  </r>
  <r>
    <s v="ORD-00459"/>
    <x v="70"/>
    <s v="CUS-RAN-024"/>
    <s v="R07"/>
    <s v="ST-RAN-05"/>
    <x v="42"/>
    <s v="P002"/>
    <n v="1"/>
    <n v="0.15"/>
    <n v="3841"/>
    <n v="11"/>
    <x v="34"/>
    <s v="Wireless Mouse"/>
    <s v="Electronics"/>
    <n v="3340"/>
    <x v="55"/>
    <n v="2270"/>
    <n v="2270"/>
    <n v="1070"/>
    <x v="104"/>
    <x v="42"/>
    <x v="0"/>
    <x v="39"/>
  </r>
  <r>
    <s v="ORD-00460"/>
    <x v="14"/>
    <s v="CUS-DHA-001"/>
    <s v="R01"/>
    <s v="ST-DHA-03"/>
    <x v="9"/>
    <s v="P023"/>
    <n v="8"/>
    <n v="7.0000000000000007E-2"/>
    <n v="9837"/>
    <n v="1"/>
    <x v="13"/>
    <s v="Body Lotion"/>
    <s v="Beauty &amp; Personal Care"/>
    <n v="1160"/>
    <x v="206"/>
    <n v="670"/>
    <n v="5360"/>
    <n v="3920"/>
    <x v="13"/>
    <x v="9"/>
    <x v="4"/>
    <x v="5"/>
  </r>
  <r>
    <s v="ORD-00461"/>
    <x v="313"/>
    <s v="CUS-SYL-018"/>
    <s v="R03"/>
    <s v="ST-SYL-01"/>
    <x v="5"/>
    <s v="P004"/>
    <n v="3"/>
    <n v="0.12"/>
    <n v="12423"/>
    <n v="4"/>
    <x v="6"/>
    <s v="Smart Watch"/>
    <s v="Electronics"/>
    <n v="3870"/>
    <x v="39"/>
    <n v="2630"/>
    <n v="7890"/>
    <n v="3720"/>
    <x v="108"/>
    <x v="5"/>
    <x v="3"/>
    <x v="25"/>
  </r>
  <r>
    <s v="ORD-00462"/>
    <x v="314"/>
    <s v="CUS-BAR-023"/>
    <s v="R06"/>
    <s v="ST-BAR-05"/>
    <x v="22"/>
    <s v="P003"/>
    <n v="2"/>
    <n v="0.15"/>
    <n v="6362"/>
    <n v="4"/>
    <x v="3"/>
    <s v="Power Bank"/>
    <s v="Electronics"/>
    <n v="2840"/>
    <x v="54"/>
    <n v="1930"/>
    <n v="3860"/>
    <n v="1820"/>
    <x v="14"/>
    <x v="22"/>
    <x v="5"/>
    <x v="7"/>
  </r>
  <r>
    <s v="ORD-00463"/>
    <x v="114"/>
    <s v="CUS-KHL-024"/>
    <s v="R05"/>
    <s v="ST-KHL-03"/>
    <x v="24"/>
    <s v="P006"/>
    <n v="3"/>
    <n v="0.12"/>
    <n v="23544"/>
    <n v="3"/>
    <x v="21"/>
    <s v="Electric Kettle"/>
    <s v="Home Appliance"/>
    <n v="7200"/>
    <x v="42"/>
    <n v="5040"/>
    <n v="15120"/>
    <n v="6480"/>
    <x v="39"/>
    <x v="24"/>
    <x v="6"/>
    <x v="17"/>
  </r>
  <r>
    <s v="ORD-00464"/>
    <x v="315"/>
    <s v="CUS-SYL-011"/>
    <s v="R03"/>
    <s v="ST-SYL-04"/>
    <x v="20"/>
    <s v="P019"/>
    <n v="1"/>
    <n v="0"/>
    <n v="471"/>
    <n v="3"/>
    <x v="10"/>
    <s v="Flour 2kg"/>
    <s v="Grocery"/>
    <n v="440"/>
    <x v="178"/>
    <n v="340"/>
    <n v="340"/>
    <n v="100"/>
    <x v="47"/>
    <x v="20"/>
    <x v="3"/>
    <x v="21"/>
  </r>
  <r>
    <s v="ORD-00465"/>
    <x v="157"/>
    <s v="CUS-RAJ-006"/>
    <s v="R04"/>
    <s v="ST-RAJ-01"/>
    <x v="2"/>
    <s v="P005"/>
    <n v="3"/>
    <n v="0.08"/>
    <n v="15844"/>
    <n v="1"/>
    <x v="13"/>
    <s v="USB-C Hub"/>
    <s v="Electronics"/>
    <n v="4890"/>
    <x v="27"/>
    <n v="3330"/>
    <n v="9990"/>
    <n v="4680"/>
    <x v="21"/>
    <x v="2"/>
    <x v="1"/>
    <x v="36"/>
  </r>
  <r>
    <s v="ORD-00466"/>
    <x v="186"/>
    <s v="CUS-MYM-015"/>
    <s v="R08"/>
    <s v="ST-MYM-04"/>
    <x v="17"/>
    <s v="P039"/>
    <n v="1"/>
    <n v="0"/>
    <n v="1123"/>
    <n v="6"/>
    <x v="5"/>
    <s v="Marker Set"/>
    <s v="Stationery"/>
    <n v="1040"/>
    <x v="37"/>
    <n v="520"/>
    <n v="520"/>
    <n v="520"/>
    <x v="126"/>
    <x v="17"/>
    <x v="2"/>
    <x v="34"/>
  </r>
  <r>
    <s v="ORD-00467"/>
    <x v="316"/>
    <s v="CUS-RAJ-010"/>
    <s v="R04"/>
    <s v="ST-RAJ-02"/>
    <x v="46"/>
    <s v="P032"/>
    <n v="3"/>
    <n v="0.12"/>
    <n v="12053"/>
    <n v="5"/>
    <x v="5"/>
    <s v="Football"/>
    <s v="Sports"/>
    <n v="3720"/>
    <x v="135"/>
    <n v="2310"/>
    <n v="6930"/>
    <n v="4230"/>
    <x v="89"/>
    <x v="46"/>
    <x v="1"/>
    <x v="2"/>
  </r>
  <r>
    <s v="ORD-00468"/>
    <x v="109"/>
    <s v="CUS-DHA-017"/>
    <s v="R01"/>
    <s v="ST-DHA-05"/>
    <x v="28"/>
    <s v="P010"/>
    <n v="2"/>
    <n v="0.08"/>
    <n v="6593"/>
    <n v="10"/>
    <x v="26"/>
    <s v="Table Fan"/>
    <s v="Home Appliance"/>
    <n v="3110"/>
    <x v="127"/>
    <n v="2180"/>
    <n v="4360"/>
    <n v="1860"/>
    <x v="68"/>
    <x v="28"/>
    <x v="4"/>
    <x v="15"/>
  </r>
  <r>
    <s v="ORD-00469"/>
    <x v="317"/>
    <s v="CUS-BAR-001"/>
    <s v="R06"/>
    <s v="ST-BAR-03"/>
    <x v="10"/>
    <s v="P049"/>
    <n v="2"/>
    <n v="0.12"/>
    <n v="9475"/>
    <n v="8"/>
    <x v="27"/>
    <s v="Bookshelf"/>
    <s v="Furniture"/>
    <n v="4230"/>
    <x v="207"/>
    <n v="3050"/>
    <n v="6100"/>
    <n v="2360"/>
    <x v="49"/>
    <x v="10"/>
    <x v="5"/>
    <x v="27"/>
  </r>
  <r>
    <s v="ORD-00470"/>
    <x v="318"/>
    <s v="CUS-BAR-005"/>
    <s v="R06"/>
    <s v="ST-BAR-01"/>
    <x v="47"/>
    <s v="P012"/>
    <n v="2"/>
    <n v="7.0000000000000007E-2"/>
    <n v="4077"/>
    <n v="5"/>
    <x v="29"/>
    <s v="Formal Shirt"/>
    <s v="Fashion"/>
    <n v="1820"/>
    <x v="48"/>
    <n v="1000"/>
    <n v="2000"/>
    <n v="1640"/>
    <x v="131"/>
    <x v="47"/>
    <x v="5"/>
    <x v="9"/>
  </r>
  <r>
    <s v="ORD-00471"/>
    <x v="319"/>
    <s v="CUS-DHA-011"/>
    <s v="R01"/>
    <s v="ST-DHA-01"/>
    <x v="35"/>
    <s v="P023"/>
    <n v="4"/>
    <n v="0.12"/>
    <n v="4918"/>
    <n v="4"/>
    <x v="6"/>
    <s v="Body Lotion"/>
    <s v="Beauty &amp; Personal Care"/>
    <n v="1160"/>
    <x v="132"/>
    <n v="670"/>
    <n v="2680"/>
    <n v="1960"/>
    <x v="132"/>
    <x v="35"/>
    <x v="4"/>
    <x v="29"/>
  </r>
  <r>
    <s v="ORD-00472"/>
    <x v="54"/>
    <s v="CUS-KHL-011"/>
    <s v="R05"/>
    <s v="ST-KHL-01"/>
    <x v="13"/>
    <s v="P002"/>
    <n v="1"/>
    <n v="0.12"/>
    <n v="3641"/>
    <n v="6"/>
    <x v="28"/>
    <s v="Wireless Mouse"/>
    <s v="Electronics"/>
    <n v="3340"/>
    <x v="55"/>
    <n v="2270"/>
    <n v="2270"/>
    <n v="1070"/>
    <x v="105"/>
    <x v="13"/>
    <x v="6"/>
    <x v="24"/>
  </r>
  <r>
    <s v="ORD-00473"/>
    <x v="168"/>
    <s v="CUS-SYL-008"/>
    <s v="R03"/>
    <s v="ST-SYL-04"/>
    <x v="34"/>
    <s v="P001"/>
    <n v="1"/>
    <n v="0.15"/>
    <n v="3467"/>
    <n v="2"/>
    <x v="10"/>
    <s v="Bluetooth Speaker"/>
    <s v="Electronics"/>
    <n v="3240"/>
    <x v="40"/>
    <n v="2200"/>
    <n v="2200"/>
    <n v="1040"/>
    <x v="133"/>
    <x v="34"/>
    <x v="3"/>
    <x v="21"/>
  </r>
  <r>
    <s v="ORD-00474"/>
    <x v="320"/>
    <s v="CUS-SYL-004"/>
    <s v="R03"/>
    <s v="ST-SYL-03"/>
    <x v="32"/>
    <s v="P036"/>
    <n v="6"/>
    <n v="0.02"/>
    <n v="2568"/>
    <n v="6"/>
    <x v="4"/>
    <s v="Notebook Pack"/>
    <s v="Stationery"/>
    <n v="400"/>
    <x v="208"/>
    <n v="200"/>
    <n v="1200"/>
    <n v="1200"/>
    <x v="29"/>
    <x v="32"/>
    <x v="3"/>
    <x v="23"/>
  </r>
  <r>
    <s v="ORD-00475"/>
    <x v="321"/>
    <s v="CUS-BAR-022"/>
    <s v="R06"/>
    <s v="ST-BAR-01"/>
    <x v="33"/>
    <s v="P015"/>
    <n v="2"/>
    <n v="0.1"/>
    <n v="5869"/>
    <n v="3"/>
    <x v="21"/>
    <s v="Leather Belt"/>
    <s v="Fashion"/>
    <n v="2620"/>
    <x v="162"/>
    <n v="1440"/>
    <n v="2880"/>
    <n v="2360"/>
    <x v="114"/>
    <x v="33"/>
    <x v="5"/>
    <x v="9"/>
  </r>
  <r>
    <s v="ORD-00476"/>
    <x v="170"/>
    <s v="CUS-RAN-003"/>
    <s v="R07"/>
    <s v="ST-RAN-04"/>
    <x v="42"/>
    <s v="P023"/>
    <n v="3"/>
    <n v="0.03"/>
    <n v="4002"/>
    <n v="6"/>
    <x v="4"/>
    <s v="Body Lotion"/>
    <s v="Beauty &amp; Personal Care"/>
    <n v="1160"/>
    <x v="51"/>
    <n v="670"/>
    <n v="2010"/>
    <n v="1470"/>
    <x v="15"/>
    <x v="42"/>
    <x v="0"/>
    <x v="13"/>
  </r>
  <r>
    <s v="ORD-00477"/>
    <x v="283"/>
    <s v="CUS-BAR-015"/>
    <s v="R06"/>
    <s v="ST-BAR-02"/>
    <x v="10"/>
    <s v="P028"/>
    <n v="6"/>
    <n v="0.12"/>
    <n v="21638"/>
    <n v="3"/>
    <x v="21"/>
    <s v="Ladies Sandal"/>
    <s v="Footwear"/>
    <n v="3220"/>
    <x v="209"/>
    <n v="1930"/>
    <n v="11580"/>
    <n v="7740"/>
    <x v="69"/>
    <x v="10"/>
    <x v="5"/>
    <x v="11"/>
  </r>
  <r>
    <s v="ORD-00478"/>
    <x v="264"/>
    <s v="CUS-KHL-015"/>
    <s v="R05"/>
    <s v="ST-KHL-04"/>
    <x v="45"/>
    <s v="P044"/>
    <n v="2"/>
    <n v="0.05"/>
    <n v="4905"/>
    <n v="1"/>
    <x v="7"/>
    <s v="Color Pencil Set"/>
    <s v="Kids &amp; Toys"/>
    <n v="2250"/>
    <x v="210"/>
    <n v="1240"/>
    <n v="2480"/>
    <n v="2020"/>
    <x v="26"/>
    <x v="45"/>
    <x v="6"/>
    <x v="19"/>
  </r>
  <r>
    <s v="ORD-00479"/>
    <x v="322"/>
    <s v="CUS-KHL-008"/>
    <s v="R05"/>
    <s v="ST-KHL-05"/>
    <x v="24"/>
    <s v="P006"/>
    <n v="3"/>
    <n v="0.08"/>
    <n v="23544"/>
    <n v="3"/>
    <x v="25"/>
    <s v="Electric Kettle"/>
    <s v="Home Appliance"/>
    <n v="7200"/>
    <x v="42"/>
    <n v="5040"/>
    <n v="15120"/>
    <n v="6480"/>
    <x v="91"/>
    <x v="24"/>
    <x v="6"/>
    <x v="30"/>
  </r>
  <r>
    <s v="ORD-00480"/>
    <x v="323"/>
    <s v="CUS-RAN-004"/>
    <s v="R07"/>
    <s v="ST-RAN-04"/>
    <x v="0"/>
    <s v="P030"/>
    <n v="2"/>
    <n v="0.12"/>
    <n v="4301"/>
    <n v="6"/>
    <x v="28"/>
    <s v="Casual Loafer"/>
    <s v="Footwear"/>
    <n v="1870"/>
    <x v="117"/>
    <n v="1120"/>
    <n v="2240"/>
    <n v="1500"/>
    <x v="74"/>
    <x v="0"/>
    <x v="0"/>
    <x v="13"/>
  </r>
  <r>
    <s v="ORD-00481"/>
    <x v="300"/>
    <s v="CUS-CTG-025"/>
    <s v="R02"/>
    <s v="ST-CTG-05"/>
    <x v="41"/>
    <s v="P003"/>
    <n v="1"/>
    <n v="0.15"/>
    <n v="3238"/>
    <n v="7"/>
    <x v="23"/>
    <s v="Power Bank"/>
    <s v="Electronics"/>
    <n v="2840"/>
    <x v="53"/>
    <n v="1930"/>
    <n v="1930"/>
    <n v="910"/>
    <x v="67"/>
    <x v="41"/>
    <x v="7"/>
    <x v="31"/>
  </r>
  <r>
    <s v="ORD-00482"/>
    <x v="232"/>
    <s v="CUS-KHL-011"/>
    <s v="R05"/>
    <s v="ST-KHL-05"/>
    <x v="13"/>
    <s v="P012"/>
    <n v="4"/>
    <n v="7.0000000000000007E-2"/>
    <n v="7935"/>
    <n v="4"/>
    <x v="20"/>
    <s v="Formal Shirt"/>
    <s v="Fashion"/>
    <n v="1820"/>
    <x v="50"/>
    <n v="1000"/>
    <n v="4000"/>
    <n v="3280"/>
    <x v="105"/>
    <x v="13"/>
    <x v="6"/>
    <x v="30"/>
  </r>
  <r>
    <s v="ORD-00483"/>
    <x v="147"/>
    <s v="CUS-SYL-007"/>
    <s v="R03"/>
    <s v="ST-SYL-02"/>
    <x v="34"/>
    <s v="P032"/>
    <n v="5"/>
    <n v="0.03"/>
    <n v="19902"/>
    <n v="3"/>
    <x v="10"/>
    <s v="Football"/>
    <s v="Sports"/>
    <n v="3720"/>
    <x v="211"/>
    <n v="2310"/>
    <n v="11550"/>
    <n v="7050"/>
    <x v="58"/>
    <x v="34"/>
    <x v="3"/>
    <x v="32"/>
  </r>
  <r>
    <s v="ORD-00484"/>
    <x v="324"/>
    <s v="CUS-RAN-004"/>
    <s v="R07"/>
    <s v="ST-RAN-01"/>
    <x v="27"/>
    <s v="P026"/>
    <n v="6"/>
    <n v="0.12"/>
    <n v="24219"/>
    <n v="6"/>
    <x v="28"/>
    <s v="Running Shoe"/>
    <s v="Footwear"/>
    <n v="3510"/>
    <x v="160"/>
    <n v="2110"/>
    <n v="12660"/>
    <n v="8400"/>
    <x v="74"/>
    <x v="27"/>
    <x v="0"/>
    <x v="0"/>
  </r>
  <r>
    <s v="ORD-00485"/>
    <x v="30"/>
    <s v="CUS-MYM-010"/>
    <s v="R08"/>
    <s v="ST-MYM-05"/>
    <x v="31"/>
    <s v="P008"/>
    <n v="5"/>
    <n v="0.08"/>
    <n v="13122"/>
    <n v="6"/>
    <x v="16"/>
    <s v="Blender Machine"/>
    <s v="Home Appliance"/>
    <n v="2430"/>
    <x v="169"/>
    <n v="1700"/>
    <n v="8500"/>
    <n v="3650"/>
    <x v="58"/>
    <x v="31"/>
    <x v="2"/>
    <x v="28"/>
  </r>
  <r>
    <s v="ORD-00486"/>
    <x v="198"/>
    <s v="CUS-CTG-001"/>
    <s v="R02"/>
    <s v="ST-CTG-02"/>
    <x v="41"/>
    <s v="P004"/>
    <n v="3"/>
    <n v="0.15"/>
    <n v="13235"/>
    <n v="5"/>
    <x v="5"/>
    <s v="Smart Watch"/>
    <s v="Electronics"/>
    <n v="3870"/>
    <x v="39"/>
    <n v="2630"/>
    <n v="7890"/>
    <n v="3720"/>
    <x v="107"/>
    <x v="41"/>
    <x v="7"/>
    <x v="22"/>
  </r>
  <r>
    <s v="ORD-00487"/>
    <x v="295"/>
    <s v="CUS-RAJ-003"/>
    <s v="R04"/>
    <s v="ST-RAJ-03"/>
    <x v="2"/>
    <s v="P003"/>
    <n v="1"/>
    <n v="0.1"/>
    <n v="3067"/>
    <n v="4"/>
    <x v="6"/>
    <s v="Power Bank"/>
    <s v="Electronics"/>
    <n v="2840"/>
    <x v="53"/>
    <n v="1930"/>
    <n v="1930"/>
    <n v="910"/>
    <x v="88"/>
    <x v="2"/>
    <x v="1"/>
    <x v="18"/>
  </r>
  <r>
    <s v="ORD-00488"/>
    <x v="65"/>
    <s v="CUS-MYM-016"/>
    <s v="R08"/>
    <s v="ST-MYM-01"/>
    <x v="19"/>
    <s v="P021"/>
    <n v="2"/>
    <n v="0.1"/>
    <n v="2765"/>
    <n v="2"/>
    <x v="24"/>
    <s v="Face Wash"/>
    <s v="Beauty &amp; Personal Care"/>
    <n v="1280"/>
    <x v="123"/>
    <n v="740"/>
    <n v="1480"/>
    <n v="1080"/>
    <x v="61"/>
    <x v="19"/>
    <x v="2"/>
    <x v="3"/>
  </r>
  <r>
    <s v="ORD-00489"/>
    <x v="240"/>
    <s v="CUS-DHA-011"/>
    <s v="R01"/>
    <s v="ST-DHA-01"/>
    <x v="44"/>
    <s v="P024"/>
    <n v="9"/>
    <n v="0.12"/>
    <n v="13451"/>
    <n v="1"/>
    <x v="1"/>
    <s v="Toothpaste Twin Pack"/>
    <s v="Beauty &amp; Personal Care"/>
    <n v="1410"/>
    <x v="94"/>
    <n v="820"/>
    <n v="7380"/>
    <n v="5310"/>
    <x v="132"/>
    <x v="44"/>
    <x v="4"/>
    <x v="29"/>
  </r>
  <r>
    <s v="ORD-00490"/>
    <x v="293"/>
    <s v="CUS-KHL-002"/>
    <s v="R05"/>
    <s v="ST-KHL-04"/>
    <x v="24"/>
    <s v="P013"/>
    <n v="1"/>
    <n v="0.03"/>
    <n v="2169"/>
    <n v="2"/>
    <x v="15"/>
    <s v="Women Kurti"/>
    <s v="Fashion"/>
    <n v="1990"/>
    <x v="163"/>
    <n v="1090"/>
    <n v="1090"/>
    <n v="900"/>
    <x v="128"/>
    <x v="24"/>
    <x v="6"/>
    <x v="19"/>
  </r>
  <r>
    <s v="ORD-00491"/>
    <x v="325"/>
    <s v="CUS-DHA-014"/>
    <s v="R01"/>
    <s v="ST-DHA-05"/>
    <x v="14"/>
    <s v="P018"/>
    <n v="6"/>
    <n v="0.05"/>
    <n v="10876"/>
    <n v="3"/>
    <x v="25"/>
    <s v="Lentil 1kg"/>
    <s v="Grocery"/>
    <n v="1710"/>
    <x v="212"/>
    <n v="1330"/>
    <n v="7980"/>
    <n v="2280"/>
    <x v="23"/>
    <x v="14"/>
    <x v="4"/>
    <x v="15"/>
  </r>
  <r>
    <s v="ORD-00492"/>
    <x v="177"/>
    <s v="CUS-BAR-015"/>
    <s v="R06"/>
    <s v="ST-BAR-04"/>
    <x v="47"/>
    <s v="P003"/>
    <n v="2"/>
    <n v="0.15"/>
    <n v="6362"/>
    <n v="4"/>
    <x v="3"/>
    <s v="Power Bank"/>
    <s v="Electronics"/>
    <n v="2840"/>
    <x v="54"/>
    <n v="1930"/>
    <n v="3860"/>
    <n v="1820"/>
    <x v="69"/>
    <x v="47"/>
    <x v="5"/>
    <x v="12"/>
  </r>
  <r>
    <s v="ORD-00493"/>
    <x v="297"/>
    <s v="CUS-RAJ-017"/>
    <s v="R04"/>
    <s v="ST-RAJ-02"/>
    <x v="40"/>
    <s v="P044"/>
    <n v="8"/>
    <n v="0.1"/>
    <n v="19440"/>
    <n v="5"/>
    <x v="29"/>
    <s v="Color Pencil Set"/>
    <s v="Kids &amp; Toys"/>
    <n v="2250"/>
    <x v="213"/>
    <n v="1240"/>
    <n v="9920"/>
    <n v="8080"/>
    <x v="55"/>
    <x v="40"/>
    <x v="1"/>
    <x v="2"/>
  </r>
  <r>
    <s v="ORD-00494"/>
    <x v="326"/>
    <s v="CUS-RAN-014"/>
    <s v="R07"/>
    <s v="ST-RAN-03"/>
    <x v="4"/>
    <s v="P036"/>
    <n v="3"/>
    <n v="0.03"/>
    <n v="1380"/>
    <n v="7"/>
    <x v="11"/>
    <s v="Notebook Pack"/>
    <s v="Stationery"/>
    <n v="400"/>
    <x v="196"/>
    <n v="200"/>
    <n v="600"/>
    <n v="600"/>
    <x v="7"/>
    <x v="4"/>
    <x v="0"/>
    <x v="26"/>
  </r>
  <r>
    <s v="ORD-00495"/>
    <x v="23"/>
    <s v="CUS-CTG-022"/>
    <s v="R02"/>
    <s v="ST-CTG-04"/>
    <x v="23"/>
    <s v="P004"/>
    <n v="3"/>
    <n v="0.08"/>
    <n v="13235"/>
    <n v="6"/>
    <x v="16"/>
    <s v="Smart Watch"/>
    <s v="Electronics"/>
    <n v="3870"/>
    <x v="39"/>
    <n v="2630"/>
    <n v="7890"/>
    <n v="3720"/>
    <x v="74"/>
    <x v="23"/>
    <x v="7"/>
    <x v="33"/>
  </r>
  <r>
    <s v="ORD-00496"/>
    <x v="327"/>
    <s v="CUS-MYM-010"/>
    <s v="R08"/>
    <s v="ST-MYM-02"/>
    <x v="11"/>
    <s v="P019"/>
    <n v="2"/>
    <n v="0.03"/>
    <n v="950"/>
    <n v="1"/>
    <x v="7"/>
    <s v="Flour 2kg"/>
    <s v="Grocery"/>
    <n v="440"/>
    <x v="192"/>
    <n v="340"/>
    <n v="680"/>
    <n v="200"/>
    <x v="58"/>
    <x v="11"/>
    <x v="2"/>
    <x v="20"/>
  </r>
  <r>
    <s v="ORD-00497"/>
    <x v="328"/>
    <s v="CUS-BAR-022"/>
    <s v="R06"/>
    <s v="ST-BAR-02"/>
    <x v="8"/>
    <s v="P038"/>
    <n v="1"/>
    <n v="0"/>
    <n v="381"/>
    <n v="5"/>
    <x v="3"/>
    <s v="Office File Set"/>
    <s v="Stationery"/>
    <n v="340"/>
    <x v="214"/>
    <n v="170"/>
    <n v="170"/>
    <n v="170"/>
    <x v="114"/>
    <x v="8"/>
    <x v="5"/>
    <x v="11"/>
  </r>
  <r>
    <s v="ORD-00498"/>
    <x v="226"/>
    <s v="CUS-RAJ-004"/>
    <s v="R04"/>
    <s v="ST-RAJ-05"/>
    <x v="46"/>
    <s v="P014"/>
    <n v="4"/>
    <n v="0.12"/>
    <n v="3802"/>
    <n v="5"/>
    <x v="5"/>
    <s v="Denim Jeans"/>
    <s v="Fashion"/>
    <n v="880"/>
    <x v="32"/>
    <n v="480"/>
    <n v="1920"/>
    <n v="1600"/>
    <x v="1"/>
    <x v="46"/>
    <x v="1"/>
    <x v="38"/>
  </r>
  <r>
    <s v="ORD-00499"/>
    <x v="185"/>
    <s v="CUS-KHL-005"/>
    <s v="R05"/>
    <s v="ST-KHL-05"/>
    <x v="29"/>
    <s v="P027"/>
    <n v="6"/>
    <n v="0.1"/>
    <n v="7913"/>
    <n v="4"/>
    <x v="6"/>
    <s v="Formal Shoe"/>
    <s v="Footwear"/>
    <n v="1210"/>
    <x v="215"/>
    <n v="730"/>
    <n v="4380"/>
    <n v="2880"/>
    <x v="16"/>
    <x v="29"/>
    <x v="6"/>
    <x v="30"/>
  </r>
  <r>
    <s v="ORD-00500"/>
    <x v="290"/>
    <s v="CUS-CTG-004"/>
    <s v="R02"/>
    <s v="ST-CTG-05"/>
    <x v="18"/>
    <s v="P035"/>
    <n v="5"/>
    <n v="0.12"/>
    <n v="6327"/>
    <n v="1"/>
    <x v="1"/>
    <s v="Dumbbell Set"/>
    <s v="Sports"/>
    <n v="1110"/>
    <x v="62"/>
    <n v="690"/>
    <n v="3450"/>
    <n v="2100"/>
    <x v="57"/>
    <x v="18"/>
    <x v="7"/>
    <x v="31"/>
  </r>
  <r>
    <s v="ORD-00501"/>
    <x v="23"/>
    <s v="CUS-CTG-006"/>
    <s v="R02"/>
    <s v="ST-CTG-01"/>
    <x v="23"/>
    <s v="P044"/>
    <n v="4"/>
    <n v="0.1"/>
    <n v="10260"/>
    <n v="5"/>
    <x v="29"/>
    <s v="Color Pencil Set"/>
    <s v="Kids &amp; Toys"/>
    <n v="2250"/>
    <x v="216"/>
    <n v="1240"/>
    <n v="4960"/>
    <n v="4040"/>
    <x v="96"/>
    <x v="23"/>
    <x v="7"/>
    <x v="37"/>
  </r>
  <r>
    <s v="ORD-00502"/>
    <x v="329"/>
    <s v="CUS-CTG-005"/>
    <s v="R02"/>
    <s v="ST-CTG-03"/>
    <x v="15"/>
    <s v="P037"/>
    <n v="5"/>
    <n v="0.05"/>
    <n v="1938"/>
    <n v="3"/>
    <x v="25"/>
    <s v="Ball Pen Box"/>
    <s v="Stationery"/>
    <n v="340"/>
    <x v="217"/>
    <n v="170"/>
    <n v="850"/>
    <n v="850"/>
    <x v="46"/>
    <x v="15"/>
    <x v="7"/>
    <x v="16"/>
  </r>
  <r>
    <s v="ORD-00503"/>
    <x v="42"/>
    <s v="CUS-RAN-025"/>
    <s v="R07"/>
    <s v="ST-RAN-01"/>
    <x v="27"/>
    <s v="P039"/>
    <n v="2"/>
    <n v="0.02"/>
    <n v="2392"/>
    <n v="7"/>
    <x v="11"/>
    <s v="Marker Set"/>
    <s v="Stationery"/>
    <n v="1040"/>
    <x v="10"/>
    <n v="520"/>
    <n v="1040"/>
    <n v="1040"/>
    <x v="19"/>
    <x v="27"/>
    <x v="0"/>
    <x v="0"/>
  </r>
  <r>
    <s v="ORD-00504"/>
    <x v="330"/>
    <s v="CUS-RAN-012"/>
    <s v="R07"/>
    <s v="ST-RAN-02"/>
    <x v="27"/>
    <s v="P033"/>
    <n v="4"/>
    <n v="0.1"/>
    <n v="14260"/>
    <n v="7"/>
    <x v="12"/>
    <s v="Badminton Racket"/>
    <s v="Sports"/>
    <n v="3100"/>
    <x v="218"/>
    <n v="1920"/>
    <n v="7680"/>
    <n v="4720"/>
    <x v="87"/>
    <x v="27"/>
    <x v="0"/>
    <x v="6"/>
  </r>
  <r>
    <s v="ORD-00505"/>
    <x v="331"/>
    <s v="CUS-RAN-014"/>
    <s v="R07"/>
    <s v="ST-RAN-04"/>
    <x v="21"/>
    <s v="P036"/>
    <n v="8"/>
    <n v="0.05"/>
    <n v="3680"/>
    <n v="6"/>
    <x v="4"/>
    <s v="Notebook Pack"/>
    <s v="Stationery"/>
    <n v="400"/>
    <x v="219"/>
    <n v="200"/>
    <n v="1600"/>
    <n v="1600"/>
    <x v="7"/>
    <x v="21"/>
    <x v="0"/>
    <x v="13"/>
  </r>
  <r>
    <s v="ORD-00506"/>
    <x v="332"/>
    <s v="CUS-CTG-003"/>
    <s v="R02"/>
    <s v="ST-CTG-03"/>
    <x v="15"/>
    <s v="P010"/>
    <n v="2"/>
    <n v="0.15"/>
    <n v="7091"/>
    <n v="7"/>
    <x v="23"/>
    <s v="Table Fan"/>
    <s v="Home Appliance"/>
    <n v="3110"/>
    <x v="127"/>
    <n v="2180"/>
    <n v="4360"/>
    <n v="1860"/>
    <x v="27"/>
    <x v="15"/>
    <x v="7"/>
    <x v="16"/>
  </r>
  <r>
    <s v="ORD-00507"/>
    <x v="5"/>
    <s v="CUS-DHA-022"/>
    <s v="R01"/>
    <s v="ST-DHA-02"/>
    <x v="9"/>
    <s v="P002"/>
    <n v="2"/>
    <n v="0.18"/>
    <n v="7081"/>
    <n v="4"/>
    <x v="19"/>
    <s v="Wireless Mouse"/>
    <s v="Electronics"/>
    <n v="3340"/>
    <x v="15"/>
    <n v="2270"/>
    <n v="4540"/>
    <n v="2140"/>
    <x v="41"/>
    <x v="9"/>
    <x v="4"/>
    <x v="8"/>
  </r>
  <r>
    <s v="ORD-00508"/>
    <x v="333"/>
    <s v="CUS-BAR-012"/>
    <s v="R06"/>
    <s v="ST-BAR-01"/>
    <x v="33"/>
    <s v="P043"/>
    <n v="4"/>
    <n v="0.1"/>
    <n v="9856"/>
    <n v="3"/>
    <x v="21"/>
    <s v="Puzzle Board"/>
    <s v="Kids &amp; Toys"/>
    <n v="2200"/>
    <x v="179"/>
    <n v="1210"/>
    <n v="4840"/>
    <n v="3960"/>
    <x v="72"/>
    <x v="33"/>
    <x v="5"/>
    <x v="9"/>
  </r>
  <r>
    <s v="ORD-00509"/>
    <x v="238"/>
    <s v="CUS-RAJ-018"/>
    <s v="R04"/>
    <s v="ST-RAJ-05"/>
    <x v="40"/>
    <s v="P025"/>
    <n v="8"/>
    <n v="0.1"/>
    <n v="10886"/>
    <n v="5"/>
    <x v="29"/>
    <s v="Perfume Spray"/>
    <s v="Beauty &amp; Personal Care"/>
    <n v="1260"/>
    <x v="119"/>
    <n v="730"/>
    <n v="5840"/>
    <n v="4240"/>
    <x v="64"/>
    <x v="40"/>
    <x v="1"/>
    <x v="38"/>
  </r>
  <r>
    <s v="ORD-00510"/>
    <x v="334"/>
    <s v="CUS-CTG-002"/>
    <s v="R02"/>
    <s v="ST-CTG-05"/>
    <x v="15"/>
    <s v="P010"/>
    <n v="3"/>
    <n v="0.18"/>
    <n v="10636"/>
    <n v="3"/>
    <x v="20"/>
    <s v="Table Fan"/>
    <s v="Home Appliance"/>
    <n v="3110"/>
    <x v="28"/>
    <n v="2180"/>
    <n v="6540"/>
    <n v="2790"/>
    <x v="123"/>
    <x v="15"/>
    <x v="7"/>
    <x v="31"/>
  </r>
  <r>
    <s v="ORD-00511"/>
    <x v="226"/>
    <s v="CUS-KHL-007"/>
    <s v="R05"/>
    <s v="ST-KHL-01"/>
    <x v="29"/>
    <s v="P018"/>
    <n v="4"/>
    <n v="0"/>
    <n v="7456"/>
    <n v="6"/>
    <x v="5"/>
    <s v="Lentil 1kg"/>
    <s v="Grocery"/>
    <n v="1710"/>
    <x v="131"/>
    <n v="1330"/>
    <n v="5320"/>
    <n v="1520"/>
    <x v="79"/>
    <x v="29"/>
    <x v="6"/>
    <x v="24"/>
  </r>
  <r>
    <s v="ORD-00512"/>
    <x v="335"/>
    <s v="CUS-KHL-008"/>
    <s v="R05"/>
    <s v="ST-KHL-03"/>
    <x v="13"/>
    <s v="P011"/>
    <n v="1"/>
    <n v="0.03"/>
    <n v="2038"/>
    <n v="4"/>
    <x v="17"/>
    <s v="Cotton T-Shirt"/>
    <s v="Fashion"/>
    <n v="1870"/>
    <x v="43"/>
    <n v="1030"/>
    <n v="1030"/>
    <n v="840"/>
    <x v="91"/>
    <x v="13"/>
    <x v="6"/>
    <x v="17"/>
  </r>
  <r>
    <s v="ORD-00513"/>
    <x v="336"/>
    <s v="CUS-BAR-009"/>
    <s v="R06"/>
    <s v="ST-BAR-05"/>
    <x v="33"/>
    <s v="P003"/>
    <n v="2"/>
    <n v="0.18"/>
    <n v="6362"/>
    <n v="5"/>
    <x v="4"/>
    <s v="Power Bank"/>
    <s v="Electronics"/>
    <n v="2840"/>
    <x v="54"/>
    <n v="1930"/>
    <n v="3860"/>
    <n v="1820"/>
    <x v="31"/>
    <x v="33"/>
    <x v="5"/>
    <x v="7"/>
  </r>
  <r>
    <s v="ORD-00514"/>
    <x v="239"/>
    <s v="CUS-RAJ-024"/>
    <s v="R04"/>
    <s v="ST-RAJ-05"/>
    <x v="40"/>
    <s v="P030"/>
    <n v="2"/>
    <n v="7.0000000000000007E-2"/>
    <n v="4039"/>
    <n v="2"/>
    <x v="18"/>
    <s v="Casual Loafer"/>
    <s v="Footwear"/>
    <n v="1870"/>
    <x v="117"/>
    <n v="1120"/>
    <n v="2240"/>
    <n v="1500"/>
    <x v="116"/>
    <x v="40"/>
    <x v="1"/>
    <x v="38"/>
  </r>
  <r>
    <s v="ORD-00515"/>
    <x v="64"/>
    <s v="CUS-SYL-023"/>
    <s v="R03"/>
    <s v="ST-SYL-04"/>
    <x v="5"/>
    <s v="P032"/>
    <n v="4"/>
    <n v="0.05"/>
    <n v="15922"/>
    <n v="4"/>
    <x v="20"/>
    <s v="Football"/>
    <s v="Sports"/>
    <n v="3720"/>
    <x v="220"/>
    <n v="2310"/>
    <n v="9240"/>
    <n v="5640"/>
    <x v="134"/>
    <x v="5"/>
    <x v="3"/>
    <x v="21"/>
  </r>
  <r>
    <s v="ORD-00516"/>
    <x v="337"/>
    <s v="CUS-CTG-005"/>
    <s v="R02"/>
    <s v="ST-CTG-04"/>
    <x v="39"/>
    <s v="P002"/>
    <n v="2"/>
    <n v="0.15"/>
    <n v="7615"/>
    <n v="3"/>
    <x v="17"/>
    <s v="Wireless Mouse"/>
    <s v="Electronics"/>
    <n v="3340"/>
    <x v="15"/>
    <n v="2270"/>
    <n v="4540"/>
    <n v="2140"/>
    <x v="46"/>
    <x v="39"/>
    <x v="7"/>
    <x v="33"/>
  </r>
  <r>
    <s v="ORD-00517"/>
    <x v="338"/>
    <s v="CUS-RAJ-015"/>
    <s v="R04"/>
    <s v="ST-RAJ-01"/>
    <x v="26"/>
    <s v="P027"/>
    <n v="3"/>
    <n v="0.12"/>
    <n v="3920"/>
    <n v="5"/>
    <x v="5"/>
    <s v="Formal Shoe"/>
    <s v="Footwear"/>
    <n v="1210"/>
    <x v="221"/>
    <n v="730"/>
    <n v="2190"/>
    <n v="1440"/>
    <x v="93"/>
    <x v="26"/>
    <x v="1"/>
    <x v="36"/>
  </r>
  <r>
    <s v="ORD-00518"/>
    <x v="321"/>
    <s v="CUS-MYM-021"/>
    <s v="R08"/>
    <s v="ST-MYM-04"/>
    <x v="19"/>
    <s v="P028"/>
    <n v="4"/>
    <n v="0.1"/>
    <n v="13910"/>
    <n v="1"/>
    <x v="13"/>
    <s v="Ladies Sandal"/>
    <s v="Footwear"/>
    <n v="3220"/>
    <x v="222"/>
    <n v="1930"/>
    <n v="7720"/>
    <n v="5160"/>
    <x v="80"/>
    <x v="19"/>
    <x v="2"/>
    <x v="34"/>
  </r>
  <r>
    <s v="ORD-00519"/>
    <x v="55"/>
    <s v="CUS-SYL-005"/>
    <s v="R03"/>
    <s v="ST-SYL-05"/>
    <x v="20"/>
    <s v="P013"/>
    <n v="3"/>
    <n v="0.12"/>
    <n v="6388"/>
    <n v="4"/>
    <x v="6"/>
    <s v="Women Kurti"/>
    <s v="Fashion"/>
    <n v="1990"/>
    <x v="25"/>
    <n v="1090"/>
    <n v="3270"/>
    <n v="2700"/>
    <x v="109"/>
    <x v="20"/>
    <x v="3"/>
    <x v="4"/>
  </r>
  <r>
    <s v="ORD-00520"/>
    <x v="339"/>
    <s v="CUS-RAJ-015"/>
    <s v="R04"/>
    <s v="ST-RAJ-04"/>
    <x v="1"/>
    <s v="P032"/>
    <n v="6"/>
    <n v="0.03"/>
    <n v="24106"/>
    <n v="3"/>
    <x v="10"/>
    <s v="Football"/>
    <s v="Sports"/>
    <n v="3720"/>
    <x v="223"/>
    <n v="2310"/>
    <n v="13860"/>
    <n v="8460"/>
    <x v="93"/>
    <x v="1"/>
    <x v="1"/>
    <x v="1"/>
  </r>
  <r>
    <s v="ORD-00521"/>
    <x v="178"/>
    <s v="CUS-RAN-004"/>
    <s v="R07"/>
    <s v="ST-RAN-01"/>
    <x v="42"/>
    <s v="P020"/>
    <n v="3"/>
    <n v="0"/>
    <n v="7383"/>
    <n v="2"/>
    <x v="1"/>
    <s v="Tea Pack 500g"/>
    <s v="Grocery"/>
    <n v="2140"/>
    <x v="198"/>
    <n v="1670"/>
    <n v="5010"/>
    <n v="1410"/>
    <x v="74"/>
    <x v="42"/>
    <x v="0"/>
    <x v="0"/>
  </r>
  <r>
    <s v="ORD-00522"/>
    <x v="11"/>
    <s v="CUS-KHL-010"/>
    <s v="R05"/>
    <s v="ST-KHL-04"/>
    <x v="45"/>
    <s v="P035"/>
    <n v="4"/>
    <n v="0.1"/>
    <n v="4840"/>
    <n v="7"/>
    <x v="12"/>
    <s v="Dumbbell Set"/>
    <s v="Sports"/>
    <n v="1110"/>
    <x v="52"/>
    <n v="690"/>
    <n v="2760"/>
    <n v="1680"/>
    <x v="51"/>
    <x v="45"/>
    <x v="6"/>
    <x v="19"/>
  </r>
  <r>
    <s v="ORD-00523"/>
    <x v="340"/>
    <s v="CUS-DHA-010"/>
    <s v="R01"/>
    <s v="ST-DHA-03"/>
    <x v="28"/>
    <s v="P004"/>
    <n v="1"/>
    <n v="0.18"/>
    <n v="4102"/>
    <n v="1"/>
    <x v="15"/>
    <s v="Smart Watch"/>
    <s v="Electronics"/>
    <n v="3870"/>
    <x v="80"/>
    <n v="2630"/>
    <n v="2630"/>
    <n v="1240"/>
    <x v="59"/>
    <x v="28"/>
    <x v="4"/>
    <x v="5"/>
  </r>
  <r>
    <s v="ORD-00524"/>
    <x v="60"/>
    <s v="CUS-RAN-016"/>
    <s v="R07"/>
    <s v="ST-RAN-05"/>
    <x v="42"/>
    <s v="P019"/>
    <n v="5"/>
    <n v="0.02"/>
    <n v="2530"/>
    <n v="9"/>
    <x v="22"/>
    <s v="Flour 2kg"/>
    <s v="Grocery"/>
    <n v="440"/>
    <x v="23"/>
    <n v="340"/>
    <n v="1700"/>
    <n v="500"/>
    <x v="0"/>
    <x v="42"/>
    <x v="0"/>
    <x v="39"/>
  </r>
  <r>
    <s v="ORD-00525"/>
    <x v="260"/>
    <s v="CUS-SYL-017"/>
    <s v="R03"/>
    <s v="ST-SYL-04"/>
    <x v="32"/>
    <s v="P027"/>
    <n v="5"/>
    <n v="7.0000000000000007E-2"/>
    <n v="6474"/>
    <n v="5"/>
    <x v="29"/>
    <s v="Formal Shoe"/>
    <s v="Footwear"/>
    <n v="1210"/>
    <x v="85"/>
    <n v="730"/>
    <n v="3650"/>
    <n v="2400"/>
    <x v="135"/>
    <x v="32"/>
    <x v="3"/>
    <x v="21"/>
  </r>
  <r>
    <s v="ORD-00526"/>
    <x v="341"/>
    <s v="CUS-RAN-013"/>
    <s v="R07"/>
    <s v="ST-RAN-02"/>
    <x v="4"/>
    <s v="P008"/>
    <n v="8"/>
    <n v="0.15"/>
    <n v="22356"/>
    <n v="9"/>
    <x v="0"/>
    <s v="Blender Machine"/>
    <s v="Home Appliance"/>
    <n v="2430"/>
    <x v="82"/>
    <n v="1700"/>
    <n v="13600"/>
    <n v="5840"/>
    <x v="41"/>
    <x v="4"/>
    <x v="0"/>
    <x v="6"/>
  </r>
  <r>
    <s v="ORD-00527"/>
    <x v="342"/>
    <s v="CUS-KHL-021"/>
    <s v="R05"/>
    <s v="ST-KHL-01"/>
    <x v="36"/>
    <s v="P029"/>
    <n v="3"/>
    <n v="0.03"/>
    <n v="8764"/>
    <n v="3"/>
    <x v="10"/>
    <s v="Kids Sneaker"/>
    <s v="Footwear"/>
    <n v="2680"/>
    <x v="11"/>
    <n v="1610"/>
    <n v="4830"/>
    <n v="3210"/>
    <x v="58"/>
    <x v="36"/>
    <x v="6"/>
    <x v="24"/>
  </r>
  <r>
    <s v="ORD-00528"/>
    <x v="343"/>
    <s v="CUS-DHA-019"/>
    <s v="R01"/>
    <s v="ST-DHA-05"/>
    <x v="28"/>
    <s v="P033"/>
    <n v="6"/>
    <n v="0.03"/>
    <n v="19716"/>
    <n v="1"/>
    <x v="7"/>
    <s v="Badminton Racket"/>
    <s v="Sports"/>
    <n v="3100"/>
    <x v="211"/>
    <n v="1920"/>
    <n v="11520"/>
    <n v="7080"/>
    <x v="52"/>
    <x v="28"/>
    <x v="4"/>
    <x v="15"/>
  </r>
  <r>
    <s v="ORD-00529"/>
    <x v="276"/>
    <s v="CUS-SYL-001"/>
    <s v="R03"/>
    <s v="ST-SYL-03"/>
    <x v="20"/>
    <s v="P005"/>
    <n v="3"/>
    <n v="0.18"/>
    <n v="15697"/>
    <n v="2"/>
    <x v="10"/>
    <s v="USB-C Hub"/>
    <s v="Electronics"/>
    <n v="4890"/>
    <x v="27"/>
    <n v="3330"/>
    <n v="9990"/>
    <n v="4680"/>
    <x v="82"/>
    <x v="20"/>
    <x v="3"/>
    <x v="23"/>
  </r>
  <r>
    <s v="ORD-00530"/>
    <x v="344"/>
    <s v="CUS-MYM-001"/>
    <s v="R08"/>
    <s v="ST-MYM-03"/>
    <x v="19"/>
    <s v="P004"/>
    <n v="5"/>
    <n v="0.12"/>
    <n v="20898"/>
    <n v="6"/>
    <x v="28"/>
    <s v="Smart Watch"/>
    <s v="Electronics"/>
    <n v="3870"/>
    <x v="224"/>
    <n v="2630"/>
    <n v="13150"/>
    <n v="6200"/>
    <x v="19"/>
    <x v="19"/>
    <x v="2"/>
    <x v="10"/>
  </r>
  <r>
    <s v="ORD-00531"/>
    <x v="345"/>
    <s v="CUS-RAN-009"/>
    <s v="R07"/>
    <s v="ST-RAN-01"/>
    <x v="7"/>
    <s v="P049"/>
    <n v="2"/>
    <n v="0.05"/>
    <n v="9729"/>
    <n v="8"/>
    <x v="30"/>
    <s v="Bookshelf"/>
    <s v="Furniture"/>
    <n v="4230"/>
    <x v="207"/>
    <n v="3050"/>
    <n v="6100"/>
    <n v="2360"/>
    <x v="7"/>
    <x v="7"/>
    <x v="0"/>
    <x v="0"/>
  </r>
  <r>
    <s v="ORD-00532"/>
    <x v="346"/>
    <s v="CUS-KHL-014"/>
    <s v="R05"/>
    <s v="ST-KHL-02"/>
    <x v="45"/>
    <s v="P023"/>
    <n v="1"/>
    <n v="0.03"/>
    <n v="1264"/>
    <n v="4"/>
    <x v="17"/>
    <s v="Body Lotion"/>
    <s v="Beauty &amp; Personal Care"/>
    <n v="1160"/>
    <x v="225"/>
    <n v="670"/>
    <n v="670"/>
    <n v="490"/>
    <x v="43"/>
    <x v="45"/>
    <x v="6"/>
    <x v="14"/>
  </r>
  <r>
    <s v="ORD-00533"/>
    <x v="174"/>
    <s v="CUS-KHL-013"/>
    <s v="R05"/>
    <s v="ST-KHL-01"/>
    <x v="16"/>
    <s v="P003"/>
    <n v="2"/>
    <n v="0.08"/>
    <n v="6191"/>
    <n v="4"/>
    <x v="6"/>
    <s v="Power Bank"/>
    <s v="Electronics"/>
    <n v="2840"/>
    <x v="54"/>
    <n v="1930"/>
    <n v="3860"/>
    <n v="1820"/>
    <x v="8"/>
    <x v="16"/>
    <x v="6"/>
    <x v="24"/>
  </r>
  <r>
    <s v="ORD-00534"/>
    <x v="347"/>
    <s v="CUS-RAJ-016"/>
    <s v="R04"/>
    <s v="ST-RAJ-05"/>
    <x v="40"/>
    <s v="P009"/>
    <n v="3"/>
    <n v="0.15"/>
    <n v="14774"/>
    <n v="6"/>
    <x v="28"/>
    <s v="Steam Iron"/>
    <s v="Home Appliance"/>
    <n v="4560"/>
    <x v="6"/>
    <n v="3190"/>
    <n v="9570"/>
    <n v="4110"/>
    <x v="30"/>
    <x v="40"/>
    <x v="1"/>
    <x v="38"/>
  </r>
  <r>
    <s v="ORD-00535"/>
    <x v="239"/>
    <s v="CUS-RAN-003"/>
    <s v="R07"/>
    <s v="ST-RAN-04"/>
    <x v="7"/>
    <s v="P010"/>
    <n v="6"/>
    <n v="0.08"/>
    <n v="21459"/>
    <n v="7"/>
    <x v="2"/>
    <s v="Table Fan"/>
    <s v="Home Appliance"/>
    <n v="3110"/>
    <x v="137"/>
    <n v="2180"/>
    <n v="13080"/>
    <n v="5580"/>
    <x v="15"/>
    <x v="7"/>
    <x v="0"/>
    <x v="13"/>
  </r>
  <r>
    <s v="ORD-00536"/>
    <x v="348"/>
    <s v="CUS-CTG-008"/>
    <s v="R02"/>
    <s v="ST-CTG-05"/>
    <x v="37"/>
    <s v="P035"/>
    <n v="3"/>
    <n v="0.1"/>
    <n v="3796"/>
    <n v="10"/>
    <x v="26"/>
    <s v="Dumbbell Set"/>
    <s v="Sports"/>
    <n v="1110"/>
    <x v="89"/>
    <n v="690"/>
    <n v="2070"/>
    <n v="1260"/>
    <x v="18"/>
    <x v="37"/>
    <x v="7"/>
    <x v="31"/>
  </r>
  <r>
    <s v="ORD-00537"/>
    <x v="11"/>
    <s v="CUS-CTG-021"/>
    <s v="R02"/>
    <s v="ST-CTG-05"/>
    <x v="23"/>
    <s v="P035"/>
    <n v="2"/>
    <n v="0.05"/>
    <n v="2531"/>
    <n v="5"/>
    <x v="19"/>
    <s v="Dumbbell Set"/>
    <s v="Sports"/>
    <n v="1110"/>
    <x v="58"/>
    <n v="690"/>
    <n v="1380"/>
    <n v="840"/>
    <x v="98"/>
    <x v="23"/>
    <x v="7"/>
    <x v="31"/>
  </r>
  <r>
    <s v="ORD-00538"/>
    <x v="349"/>
    <s v="CUS-RAN-018"/>
    <s v="R07"/>
    <s v="ST-RAN-04"/>
    <x v="7"/>
    <s v="P001"/>
    <n v="10"/>
    <n v="0.12"/>
    <n v="37260"/>
    <n v="4"/>
    <x v="6"/>
    <s v="Bluetooth Speaker"/>
    <s v="Electronics"/>
    <n v="3240"/>
    <x v="226"/>
    <n v="2200"/>
    <n v="22000"/>
    <n v="10400"/>
    <x v="78"/>
    <x v="7"/>
    <x v="0"/>
    <x v="13"/>
  </r>
  <r>
    <s v="ORD-00539"/>
    <x v="173"/>
    <s v="CUS-SYL-001"/>
    <s v="R03"/>
    <s v="ST-SYL-01"/>
    <x v="32"/>
    <s v="P005"/>
    <n v="5"/>
    <n v="0.15"/>
    <n v="26162"/>
    <n v="6"/>
    <x v="28"/>
    <s v="USB-C Hub"/>
    <s v="Electronics"/>
    <n v="4890"/>
    <x v="103"/>
    <n v="3330"/>
    <n v="16650"/>
    <n v="7800"/>
    <x v="82"/>
    <x v="32"/>
    <x v="3"/>
    <x v="25"/>
  </r>
  <r>
    <s v="ORD-00540"/>
    <x v="106"/>
    <s v="CUS-RAJ-019"/>
    <s v="R04"/>
    <s v="ST-RAJ-05"/>
    <x v="26"/>
    <s v="P001"/>
    <n v="3"/>
    <n v="0.08"/>
    <n v="10498"/>
    <n v="4"/>
    <x v="6"/>
    <s v="Bluetooth Speaker"/>
    <s v="Electronics"/>
    <n v="3240"/>
    <x v="81"/>
    <n v="2200"/>
    <n v="6600"/>
    <n v="3120"/>
    <x v="95"/>
    <x v="26"/>
    <x v="1"/>
    <x v="38"/>
  </r>
  <r>
    <s v="ORD-00541"/>
    <x v="350"/>
    <s v="CUS-SYL-024"/>
    <s v="R03"/>
    <s v="ST-SYL-05"/>
    <x v="38"/>
    <s v="P042"/>
    <n v="3"/>
    <n v="7.0000000000000007E-2"/>
    <n v="5842"/>
    <n v="6"/>
    <x v="16"/>
    <s v="Toy Car Set"/>
    <s v="Kids &amp; Toys"/>
    <n v="1820"/>
    <x v="20"/>
    <n v="1000"/>
    <n v="3000"/>
    <n v="2460"/>
    <x v="97"/>
    <x v="38"/>
    <x v="3"/>
    <x v="4"/>
  </r>
  <r>
    <s v="ORD-00542"/>
    <x v="84"/>
    <s v="CUS-KHL-025"/>
    <s v="R05"/>
    <s v="ST-KHL-04"/>
    <x v="16"/>
    <s v="P005"/>
    <n v="2"/>
    <n v="0.15"/>
    <n v="10660"/>
    <n v="1"/>
    <x v="1"/>
    <s v="USB-C Hub"/>
    <s v="Electronics"/>
    <n v="4890"/>
    <x v="19"/>
    <n v="3330"/>
    <n v="6660"/>
    <n v="3120"/>
    <x v="81"/>
    <x v="16"/>
    <x v="6"/>
    <x v="19"/>
  </r>
  <r>
    <s v="ORD-00543"/>
    <x v="280"/>
    <s v="CUS-BAR-001"/>
    <s v="R06"/>
    <s v="ST-BAR-02"/>
    <x v="10"/>
    <s v="P045"/>
    <n v="1"/>
    <n v="0.03"/>
    <n v="941"/>
    <n v="4"/>
    <x v="17"/>
    <s v="Kids Story Book"/>
    <s v="Kids &amp; Toys"/>
    <n v="840"/>
    <x v="112"/>
    <n v="460"/>
    <n v="460"/>
    <n v="380"/>
    <x v="49"/>
    <x v="10"/>
    <x v="5"/>
    <x v="11"/>
  </r>
  <r>
    <s v="ORD-00544"/>
    <x v="182"/>
    <s v="CUS-MYM-025"/>
    <s v="R08"/>
    <s v="ST-MYM-04"/>
    <x v="31"/>
    <s v="P002"/>
    <n v="5"/>
    <n v="0.15"/>
    <n v="18036"/>
    <n v="2"/>
    <x v="10"/>
    <s v="Wireless Mouse"/>
    <s v="Electronics"/>
    <n v="3340"/>
    <x v="164"/>
    <n v="2270"/>
    <n v="11350"/>
    <n v="5350"/>
    <x v="23"/>
    <x v="31"/>
    <x v="2"/>
    <x v="34"/>
  </r>
  <r>
    <s v="ORD-00545"/>
    <x v="13"/>
    <s v="CUS-CTG-012"/>
    <s v="R02"/>
    <s v="ST-CTG-04"/>
    <x v="18"/>
    <s v="P008"/>
    <n v="5"/>
    <n v="0.08"/>
    <n v="13851"/>
    <n v="8"/>
    <x v="30"/>
    <s v="Blender Machine"/>
    <s v="Home Appliance"/>
    <n v="2430"/>
    <x v="169"/>
    <n v="1700"/>
    <n v="8500"/>
    <n v="3650"/>
    <x v="1"/>
    <x v="18"/>
    <x v="7"/>
    <x v="33"/>
  </r>
  <r>
    <s v="ORD-00546"/>
    <x v="351"/>
    <s v="CUS-RAJ-015"/>
    <s v="R04"/>
    <s v="ST-RAJ-01"/>
    <x v="46"/>
    <s v="P032"/>
    <n v="4"/>
    <n v="7.0000000000000007E-2"/>
    <n v="16070"/>
    <n v="5"/>
    <x v="29"/>
    <s v="Football"/>
    <s v="Sports"/>
    <n v="3720"/>
    <x v="220"/>
    <n v="2310"/>
    <n v="9240"/>
    <n v="5640"/>
    <x v="93"/>
    <x v="46"/>
    <x v="1"/>
    <x v="36"/>
  </r>
  <r>
    <s v="ORD-00547"/>
    <x v="17"/>
    <s v="CUS-RAJ-003"/>
    <s v="R04"/>
    <s v="ST-RAJ-05"/>
    <x v="30"/>
    <s v="P006"/>
    <n v="1"/>
    <n v="0.15"/>
    <n v="7776"/>
    <n v="6"/>
    <x v="28"/>
    <s v="Electric Kettle"/>
    <s v="Home Appliance"/>
    <n v="7200"/>
    <x v="0"/>
    <n v="5040"/>
    <n v="5040"/>
    <n v="2160"/>
    <x v="88"/>
    <x v="30"/>
    <x v="1"/>
    <x v="38"/>
  </r>
  <r>
    <s v="ORD-00548"/>
    <x v="352"/>
    <s v="CUS-MYM-023"/>
    <s v="R08"/>
    <s v="ST-MYM-05"/>
    <x v="11"/>
    <s v="P001"/>
    <n v="1"/>
    <n v="0.12"/>
    <n v="3499"/>
    <n v="4"/>
    <x v="6"/>
    <s v="Bluetooth Speaker"/>
    <s v="Electronics"/>
    <n v="3240"/>
    <x v="40"/>
    <n v="2200"/>
    <n v="2200"/>
    <n v="1040"/>
    <x v="70"/>
    <x v="11"/>
    <x v="2"/>
    <x v="28"/>
  </r>
  <r>
    <s v="ORD-00549"/>
    <x v="134"/>
    <s v="CUS-MYM-006"/>
    <s v="R08"/>
    <s v="ST-MYM-05"/>
    <x v="11"/>
    <s v="P026"/>
    <n v="1"/>
    <n v="0.05"/>
    <n v="3791"/>
    <n v="4"/>
    <x v="20"/>
    <s v="Running Shoe"/>
    <s v="Footwear"/>
    <n v="3510"/>
    <x v="69"/>
    <n v="2110"/>
    <n v="2110"/>
    <n v="1400"/>
    <x v="60"/>
    <x v="11"/>
    <x v="2"/>
    <x v="28"/>
  </r>
  <r>
    <s v="ORD-00550"/>
    <x v="219"/>
    <s v="CUS-RAJ-017"/>
    <s v="R04"/>
    <s v="ST-RAJ-03"/>
    <x v="46"/>
    <s v="P040"/>
    <n v="10"/>
    <n v="0.03"/>
    <n v="8208"/>
    <n v="3"/>
    <x v="10"/>
    <s v="Sticky Notes"/>
    <s v="Stationery"/>
    <n v="760"/>
    <x v="227"/>
    <n v="380"/>
    <n v="3800"/>
    <n v="3800"/>
    <x v="55"/>
    <x v="46"/>
    <x v="1"/>
    <x v="18"/>
  </r>
  <r>
    <s v="ORD-00551"/>
    <x v="353"/>
    <s v="CUS-MYM-001"/>
    <s v="R08"/>
    <s v="ST-MYM-04"/>
    <x v="43"/>
    <s v="P027"/>
    <n v="5"/>
    <n v="7.0000000000000007E-2"/>
    <n v="6534"/>
    <n v="1"/>
    <x v="13"/>
    <s v="Formal Shoe"/>
    <s v="Footwear"/>
    <n v="1210"/>
    <x v="85"/>
    <n v="730"/>
    <n v="3650"/>
    <n v="2400"/>
    <x v="19"/>
    <x v="43"/>
    <x v="2"/>
    <x v="34"/>
  </r>
  <r>
    <s v="ORD-00552"/>
    <x v="120"/>
    <s v="CUS-KHL-004"/>
    <s v="R05"/>
    <s v="ST-KHL-05"/>
    <x v="24"/>
    <s v="P014"/>
    <n v="4"/>
    <n v="0.05"/>
    <n v="3837"/>
    <n v="5"/>
    <x v="19"/>
    <s v="Denim Jeans"/>
    <s v="Fashion"/>
    <n v="880"/>
    <x v="32"/>
    <n v="480"/>
    <n v="1920"/>
    <n v="1600"/>
    <x v="136"/>
    <x v="24"/>
    <x v="6"/>
    <x v="30"/>
  </r>
  <r>
    <s v="ORD-00553"/>
    <x v="354"/>
    <s v="CUS-DHA-009"/>
    <s v="R01"/>
    <s v="ST-DHA-04"/>
    <x v="9"/>
    <s v="P012"/>
    <n v="2"/>
    <n v="7.0000000000000007E-2"/>
    <n v="3858"/>
    <n v="4"/>
    <x v="20"/>
    <s v="Formal Shirt"/>
    <s v="Fashion"/>
    <n v="1820"/>
    <x v="48"/>
    <n v="1000"/>
    <n v="2000"/>
    <n v="1640"/>
    <x v="101"/>
    <x v="9"/>
    <x v="4"/>
    <x v="35"/>
  </r>
  <r>
    <s v="ORD-00554"/>
    <x v="92"/>
    <s v="CUS-DHA-024"/>
    <s v="R01"/>
    <s v="ST-DHA-02"/>
    <x v="35"/>
    <s v="P011"/>
    <n v="6"/>
    <n v="0.05"/>
    <n v="11893"/>
    <n v="3"/>
    <x v="25"/>
    <s v="Cotton T-Shirt"/>
    <s v="Fashion"/>
    <n v="1870"/>
    <x v="228"/>
    <n v="1030"/>
    <n v="6180"/>
    <n v="5040"/>
    <x v="48"/>
    <x v="35"/>
    <x v="4"/>
    <x v="8"/>
  </r>
  <r>
    <s v="ORD-00555"/>
    <x v="294"/>
    <s v="CUS-BAR-010"/>
    <s v="R06"/>
    <s v="ST-BAR-01"/>
    <x v="10"/>
    <s v="P024"/>
    <n v="2"/>
    <n v="0.03"/>
    <n v="3158"/>
    <n v="3"/>
    <x v="10"/>
    <s v="Toothpaste Twin Pack"/>
    <s v="Beauty &amp; Personal Care"/>
    <n v="1410"/>
    <x v="199"/>
    <n v="820"/>
    <n v="1640"/>
    <n v="1180"/>
    <x v="63"/>
    <x v="10"/>
    <x v="5"/>
    <x v="9"/>
  </r>
  <r>
    <s v="ORD-00556"/>
    <x v="226"/>
    <s v="CUS-BAR-009"/>
    <s v="R06"/>
    <s v="ST-BAR-02"/>
    <x v="47"/>
    <s v="P013"/>
    <n v="6"/>
    <n v="0.12"/>
    <n v="13373"/>
    <n v="4"/>
    <x v="6"/>
    <s v="Women Kurti"/>
    <s v="Fashion"/>
    <n v="1990"/>
    <x v="229"/>
    <n v="1090"/>
    <n v="6540"/>
    <n v="5400"/>
    <x v="31"/>
    <x v="47"/>
    <x v="5"/>
    <x v="11"/>
  </r>
  <r>
    <s v="ORD-00557"/>
    <x v="73"/>
    <s v="CUS-RAJ-003"/>
    <s v="R04"/>
    <s v="ST-RAJ-05"/>
    <x v="40"/>
    <s v="P011"/>
    <n v="5"/>
    <n v="0.03"/>
    <n v="10098"/>
    <n v="5"/>
    <x v="19"/>
    <s v="Cotton T-Shirt"/>
    <s v="Fashion"/>
    <n v="1870"/>
    <x v="73"/>
    <n v="1030"/>
    <n v="5150"/>
    <n v="4200"/>
    <x v="88"/>
    <x v="40"/>
    <x v="1"/>
    <x v="38"/>
  </r>
  <r>
    <s v="ORD-00558"/>
    <x v="225"/>
    <s v="CUS-DHA-013"/>
    <s v="R01"/>
    <s v="ST-DHA-03"/>
    <x v="35"/>
    <s v="P002"/>
    <n v="1"/>
    <n v="0.15"/>
    <n v="3540"/>
    <n v="2"/>
    <x v="10"/>
    <s v="Wireless Mouse"/>
    <s v="Electronics"/>
    <n v="3340"/>
    <x v="55"/>
    <n v="2270"/>
    <n v="2270"/>
    <n v="1070"/>
    <x v="6"/>
    <x v="35"/>
    <x v="4"/>
    <x v="5"/>
  </r>
  <r>
    <s v="ORD-00559"/>
    <x v="290"/>
    <s v="CUS-DHA-010"/>
    <s v="R01"/>
    <s v="ST-DHA-05"/>
    <x v="35"/>
    <s v="P011"/>
    <n v="5"/>
    <n v="0.03"/>
    <n v="9911"/>
    <n v="2"/>
    <x v="15"/>
    <s v="Cotton T-Shirt"/>
    <s v="Fashion"/>
    <n v="1870"/>
    <x v="73"/>
    <n v="1030"/>
    <n v="5150"/>
    <n v="4200"/>
    <x v="59"/>
    <x v="35"/>
    <x v="4"/>
    <x v="15"/>
  </r>
  <r>
    <s v="ORD-00560"/>
    <x v="355"/>
    <s v="CUS-CTG-020"/>
    <s v="R02"/>
    <s v="ST-CTG-04"/>
    <x v="23"/>
    <s v="P041"/>
    <n v="2"/>
    <n v="0.1"/>
    <n v="1915"/>
    <n v="7"/>
    <x v="12"/>
    <s v="Building Blocks"/>
    <s v="Kids &amp; Toys"/>
    <n v="840"/>
    <x v="168"/>
    <n v="460"/>
    <n v="920"/>
    <n v="760"/>
    <x v="35"/>
    <x v="23"/>
    <x v="7"/>
    <x v="33"/>
  </r>
  <r>
    <s v="ORD-00561"/>
    <x v="48"/>
    <s v="CUS-RAN-020"/>
    <s v="R07"/>
    <s v="ST-RAN-05"/>
    <x v="7"/>
    <s v="P008"/>
    <n v="2"/>
    <n v="0.12"/>
    <n v="5589"/>
    <n v="7"/>
    <x v="12"/>
    <s v="Blender Machine"/>
    <s v="Home Appliance"/>
    <n v="2430"/>
    <x v="47"/>
    <n v="1700"/>
    <n v="3400"/>
    <n v="1460"/>
    <x v="35"/>
    <x v="7"/>
    <x v="0"/>
    <x v="39"/>
  </r>
  <r>
    <s v="ORD-00562"/>
    <x v="258"/>
    <s v="CUS-DHA-020"/>
    <s v="R01"/>
    <s v="ST-DHA-01"/>
    <x v="9"/>
    <s v="P035"/>
    <n v="6"/>
    <n v="0.05"/>
    <n v="7060"/>
    <n v="2"/>
    <x v="15"/>
    <s v="Dumbbell Set"/>
    <s v="Sports"/>
    <n v="1110"/>
    <x v="230"/>
    <n v="690"/>
    <n v="4140"/>
    <n v="2520"/>
    <x v="53"/>
    <x v="9"/>
    <x v="4"/>
    <x v="29"/>
  </r>
  <r>
    <s v="ORD-00563"/>
    <x v="257"/>
    <s v="CUS-KHL-012"/>
    <s v="R05"/>
    <s v="ST-KHL-04"/>
    <x v="24"/>
    <s v="P031"/>
    <n v="1"/>
    <n v="0.03"/>
    <n v="2878"/>
    <n v="4"/>
    <x v="17"/>
    <s v="Cricket Bat"/>
    <s v="Sports"/>
    <n v="2640"/>
    <x v="12"/>
    <n v="1640"/>
    <n v="1640"/>
    <n v="1000"/>
    <x v="37"/>
    <x v="24"/>
    <x v="6"/>
    <x v="19"/>
  </r>
  <r>
    <s v="ORD-00564"/>
    <x v="113"/>
    <s v="CUS-RAN-017"/>
    <s v="R07"/>
    <s v="ST-RAN-03"/>
    <x v="42"/>
    <s v="P021"/>
    <n v="1"/>
    <n v="7.0000000000000007E-2"/>
    <n v="1472"/>
    <n v="7"/>
    <x v="2"/>
    <s v="Face Wash"/>
    <s v="Beauty &amp; Personal Care"/>
    <n v="1280"/>
    <x v="177"/>
    <n v="740"/>
    <n v="740"/>
    <n v="540"/>
    <x v="0"/>
    <x v="42"/>
    <x v="0"/>
    <x v="26"/>
  </r>
  <r>
    <s v="ORD-00565"/>
    <x v="198"/>
    <s v="CUS-BAR-010"/>
    <s v="R06"/>
    <s v="ST-BAR-03"/>
    <x v="47"/>
    <s v="P016"/>
    <n v="1"/>
    <n v="0"/>
    <n v="1243"/>
    <n v="4"/>
    <x v="17"/>
    <s v="Premium Rice 5kg"/>
    <s v="Grocery"/>
    <n v="1110"/>
    <x v="139"/>
    <n v="870"/>
    <n v="870"/>
    <n v="240"/>
    <x v="63"/>
    <x v="47"/>
    <x v="5"/>
    <x v="27"/>
  </r>
  <r>
    <s v="ORD-00566"/>
    <x v="280"/>
    <s v="CUS-RAJ-021"/>
    <s v="R04"/>
    <s v="ST-RAJ-02"/>
    <x v="1"/>
    <s v="P008"/>
    <n v="4"/>
    <n v="0.15"/>
    <n v="10498"/>
    <n v="7"/>
    <x v="23"/>
    <s v="Blender Machine"/>
    <s v="Home Appliance"/>
    <n v="2430"/>
    <x v="81"/>
    <n v="1700"/>
    <n v="6800"/>
    <n v="2920"/>
    <x v="73"/>
    <x v="1"/>
    <x v="1"/>
    <x v="2"/>
  </r>
  <r>
    <s v="ORD-00567"/>
    <x v="356"/>
    <s v="CUS-BAR-019"/>
    <s v="R06"/>
    <s v="ST-BAR-05"/>
    <x v="33"/>
    <s v="P023"/>
    <n v="2"/>
    <n v="0.1"/>
    <n v="2598"/>
    <n v="8"/>
    <x v="27"/>
    <s v="Body Lotion"/>
    <s v="Beauty &amp; Personal Care"/>
    <n v="1160"/>
    <x v="5"/>
    <n v="670"/>
    <n v="1340"/>
    <n v="980"/>
    <x v="10"/>
    <x v="33"/>
    <x v="5"/>
    <x v="7"/>
  </r>
  <r>
    <s v="ORD-00568"/>
    <x v="357"/>
    <s v="CUS-MYM-008"/>
    <s v="R08"/>
    <s v="ST-MYM-01"/>
    <x v="43"/>
    <s v="P005"/>
    <n v="2"/>
    <n v="0.1"/>
    <n v="10562"/>
    <n v="1"/>
    <x v="13"/>
    <s v="USB-C Hub"/>
    <s v="Electronics"/>
    <n v="4890"/>
    <x v="19"/>
    <n v="3330"/>
    <n v="6660"/>
    <n v="3120"/>
    <x v="117"/>
    <x v="43"/>
    <x v="2"/>
    <x v="3"/>
  </r>
  <r>
    <s v="ORD-00569"/>
    <x v="358"/>
    <s v="CUS-RAJ-016"/>
    <s v="R04"/>
    <s v="ST-RAJ-03"/>
    <x v="30"/>
    <s v="P009"/>
    <n v="1"/>
    <n v="0.08"/>
    <n v="4925"/>
    <n v="6"/>
    <x v="16"/>
    <s v="Steam Iron"/>
    <s v="Home Appliance"/>
    <n v="4560"/>
    <x v="115"/>
    <n v="3190"/>
    <n v="3190"/>
    <n v="1370"/>
    <x v="30"/>
    <x v="30"/>
    <x v="1"/>
    <x v="18"/>
  </r>
  <r>
    <s v="ORD-00570"/>
    <x v="137"/>
    <s v="CUS-DHA-018"/>
    <s v="R01"/>
    <s v="ST-DHA-01"/>
    <x v="28"/>
    <s v="P006"/>
    <n v="3"/>
    <n v="0.12"/>
    <n v="22896"/>
    <n v="5"/>
    <x v="5"/>
    <s v="Electric Kettle"/>
    <s v="Home Appliance"/>
    <n v="7200"/>
    <x v="42"/>
    <n v="5040"/>
    <n v="15120"/>
    <n v="6480"/>
    <x v="45"/>
    <x v="28"/>
    <x v="4"/>
    <x v="29"/>
  </r>
  <r>
    <s v="ORD-00571"/>
    <x v="8"/>
    <s v="CUS-DHA-001"/>
    <s v="R01"/>
    <s v="ST-DHA-02"/>
    <x v="28"/>
    <s v="P006"/>
    <n v="6"/>
    <n v="0.1"/>
    <n v="45792"/>
    <n v="3"/>
    <x v="21"/>
    <s v="Electric Kettle"/>
    <s v="Home Appliance"/>
    <n v="7200"/>
    <x v="29"/>
    <n v="5040"/>
    <n v="30240"/>
    <n v="12960"/>
    <x v="13"/>
    <x v="28"/>
    <x v="4"/>
    <x v="8"/>
  </r>
  <r>
    <s v="ORD-00572"/>
    <x v="359"/>
    <s v="CUS-SYL-007"/>
    <s v="R03"/>
    <s v="ST-SYL-01"/>
    <x v="20"/>
    <s v="P039"/>
    <n v="3"/>
    <n v="0.02"/>
    <n v="3338"/>
    <n v="5"/>
    <x v="3"/>
    <s v="Marker Set"/>
    <s v="Stationery"/>
    <n v="1040"/>
    <x v="173"/>
    <n v="520"/>
    <n v="1560"/>
    <n v="1560"/>
    <x v="58"/>
    <x v="20"/>
    <x v="3"/>
    <x v="25"/>
  </r>
  <r>
    <s v="ORD-00573"/>
    <x v="44"/>
    <s v="CUS-RAN-021"/>
    <s v="R07"/>
    <s v="ST-RAN-01"/>
    <x v="42"/>
    <s v="P046"/>
    <n v="2"/>
    <n v="7.0000000000000007E-2"/>
    <n v="10074"/>
    <n v="9"/>
    <x v="9"/>
    <s v="Office Chair"/>
    <s v="Furniture"/>
    <n v="4380"/>
    <x v="174"/>
    <n v="3150"/>
    <n v="6300"/>
    <n v="2460"/>
    <x v="15"/>
    <x v="42"/>
    <x v="0"/>
    <x v="0"/>
  </r>
  <r>
    <s v="ORD-00574"/>
    <x v="124"/>
    <s v="CUS-RAN-023"/>
    <s v="R07"/>
    <s v="ST-RAN-01"/>
    <x v="7"/>
    <s v="P003"/>
    <n v="4"/>
    <n v="0.1"/>
    <n v="13064"/>
    <n v="4"/>
    <x v="6"/>
    <s v="Power Bank"/>
    <s v="Electronics"/>
    <n v="2840"/>
    <x v="46"/>
    <n v="1930"/>
    <n v="7720"/>
    <n v="3640"/>
    <x v="125"/>
    <x v="7"/>
    <x v="0"/>
    <x v="0"/>
  </r>
  <r>
    <s v="ORD-00575"/>
    <x v="360"/>
    <s v="CUS-RAN-023"/>
    <s v="R07"/>
    <s v="ST-RAN-03"/>
    <x v="42"/>
    <s v="P022"/>
    <n v="6"/>
    <n v="0.12"/>
    <n v="11454"/>
    <n v="3"/>
    <x v="21"/>
    <s v="Shampoo 375ml"/>
    <s v="Beauty &amp; Personal Care"/>
    <n v="1660"/>
    <x v="231"/>
    <n v="960"/>
    <n v="5760"/>
    <n v="4200"/>
    <x v="125"/>
    <x v="42"/>
    <x v="0"/>
    <x v="26"/>
  </r>
  <r>
    <s v="ORD-00576"/>
    <x v="361"/>
    <s v="CUS-KHL-005"/>
    <s v="R05"/>
    <s v="ST-KHL-03"/>
    <x v="36"/>
    <s v="P001"/>
    <n v="5"/>
    <n v="0.18"/>
    <n v="17658"/>
    <n v="1"/>
    <x v="15"/>
    <s v="Bluetooth Speaker"/>
    <s v="Electronics"/>
    <n v="3240"/>
    <x v="16"/>
    <n v="2200"/>
    <n v="11000"/>
    <n v="5200"/>
    <x v="16"/>
    <x v="36"/>
    <x v="6"/>
    <x v="17"/>
  </r>
  <r>
    <s v="ORD-00577"/>
    <x v="362"/>
    <s v="CUS-MYM-007"/>
    <s v="R08"/>
    <s v="ST-MYM-01"/>
    <x v="19"/>
    <s v="P035"/>
    <n v="2"/>
    <n v="0.12"/>
    <n v="2398"/>
    <n v="2"/>
    <x v="24"/>
    <s v="Dumbbell Set"/>
    <s v="Sports"/>
    <n v="1110"/>
    <x v="58"/>
    <n v="690"/>
    <n v="1380"/>
    <n v="840"/>
    <x v="46"/>
    <x v="19"/>
    <x v="2"/>
    <x v="3"/>
  </r>
  <r>
    <s v="ORD-00578"/>
    <x v="363"/>
    <s v="CUS-SYL-011"/>
    <s v="R03"/>
    <s v="ST-SYL-03"/>
    <x v="5"/>
    <s v="P029"/>
    <n v="2"/>
    <n v="0.12"/>
    <n v="5735"/>
    <n v="5"/>
    <x v="5"/>
    <s v="Kids Sneaker"/>
    <s v="Footwear"/>
    <n v="2680"/>
    <x v="56"/>
    <n v="1610"/>
    <n v="3220"/>
    <n v="2140"/>
    <x v="47"/>
    <x v="5"/>
    <x v="3"/>
    <x v="23"/>
  </r>
  <r>
    <s v="ORD-00579"/>
    <x v="8"/>
    <s v="CUS-RAN-021"/>
    <s v="R07"/>
    <s v="ST-RAN-05"/>
    <x v="0"/>
    <s v="P001"/>
    <n v="6"/>
    <n v="0.15"/>
    <n v="22356"/>
    <n v="7"/>
    <x v="23"/>
    <s v="Bluetooth Speaker"/>
    <s v="Electronics"/>
    <n v="3240"/>
    <x v="82"/>
    <n v="2200"/>
    <n v="13200"/>
    <n v="6240"/>
    <x v="15"/>
    <x v="0"/>
    <x v="0"/>
    <x v="39"/>
  </r>
  <r>
    <s v="ORD-00580"/>
    <x v="217"/>
    <s v="CUS-KHL-014"/>
    <s v="R05"/>
    <s v="ST-KHL-04"/>
    <x v="29"/>
    <s v="P003"/>
    <n v="2"/>
    <n v="0.08"/>
    <n v="6191"/>
    <n v="2"/>
    <x v="18"/>
    <s v="Power Bank"/>
    <s v="Electronics"/>
    <n v="2840"/>
    <x v="54"/>
    <n v="1930"/>
    <n v="3860"/>
    <n v="1820"/>
    <x v="43"/>
    <x v="29"/>
    <x v="6"/>
    <x v="19"/>
  </r>
  <r>
    <s v="ORD-00581"/>
    <x v="282"/>
    <s v="CUS-SYL-025"/>
    <s v="R03"/>
    <s v="ST-SYL-01"/>
    <x v="38"/>
    <s v="P012"/>
    <n v="1"/>
    <n v="0.1"/>
    <n v="1947"/>
    <n v="1"/>
    <x v="13"/>
    <s v="Formal Shirt"/>
    <s v="Fashion"/>
    <n v="1820"/>
    <x v="76"/>
    <n v="1000"/>
    <n v="1000"/>
    <n v="820"/>
    <x v="31"/>
    <x v="38"/>
    <x v="3"/>
    <x v="25"/>
  </r>
  <r>
    <s v="ORD-00582"/>
    <x v="364"/>
    <s v="CUS-MYM-015"/>
    <s v="R08"/>
    <s v="ST-MYM-04"/>
    <x v="19"/>
    <s v="P009"/>
    <n v="2"/>
    <n v="0.15"/>
    <n v="9850"/>
    <n v="6"/>
    <x v="28"/>
    <s v="Steam Iron"/>
    <s v="Home Appliance"/>
    <n v="4560"/>
    <x v="138"/>
    <n v="3190"/>
    <n v="6380"/>
    <n v="2740"/>
    <x v="126"/>
    <x v="19"/>
    <x v="2"/>
    <x v="34"/>
  </r>
  <r>
    <s v="ORD-00583"/>
    <x v="298"/>
    <s v="CUS-DHA-006"/>
    <s v="R01"/>
    <s v="ST-DHA-04"/>
    <x v="28"/>
    <s v="P005"/>
    <n v="2"/>
    <n v="0.12"/>
    <n v="10367"/>
    <n v="3"/>
    <x v="21"/>
    <s v="USB-C Hub"/>
    <s v="Electronics"/>
    <n v="4890"/>
    <x v="19"/>
    <n v="3330"/>
    <n v="6660"/>
    <n v="3120"/>
    <x v="17"/>
    <x v="28"/>
    <x v="4"/>
    <x v="35"/>
  </r>
  <r>
    <s v="ORD-00584"/>
    <x v="365"/>
    <s v="CUS-CTG-009"/>
    <s v="R02"/>
    <s v="ST-CTG-02"/>
    <x v="41"/>
    <s v="P003"/>
    <n v="1"/>
    <n v="0.1"/>
    <n v="3238"/>
    <n v="3"/>
    <x v="21"/>
    <s v="Power Bank"/>
    <s v="Electronics"/>
    <n v="2840"/>
    <x v="53"/>
    <n v="1930"/>
    <n v="1930"/>
    <n v="910"/>
    <x v="137"/>
    <x v="41"/>
    <x v="7"/>
    <x v="22"/>
  </r>
  <r>
    <s v="ORD-00585"/>
    <x v="366"/>
    <s v="CUS-BAR-007"/>
    <s v="R06"/>
    <s v="ST-BAR-03"/>
    <x v="33"/>
    <s v="P006"/>
    <n v="1"/>
    <n v="0.18"/>
    <n v="8064"/>
    <n v="13"/>
    <x v="8"/>
    <s v="Electric Kettle"/>
    <s v="Home Appliance"/>
    <n v="7200"/>
    <x v="0"/>
    <n v="5040"/>
    <n v="5040"/>
    <n v="2160"/>
    <x v="113"/>
    <x v="33"/>
    <x v="5"/>
    <x v="27"/>
  </r>
  <r>
    <s v="ORD-00586"/>
    <x v="61"/>
    <s v="CUS-KHL-001"/>
    <s v="R05"/>
    <s v="ST-KHL-03"/>
    <x v="16"/>
    <s v="P038"/>
    <n v="8"/>
    <n v="0"/>
    <n v="2965"/>
    <n v="3"/>
    <x v="10"/>
    <s v="Office File Set"/>
    <s v="Stationery"/>
    <n v="340"/>
    <x v="232"/>
    <n v="170"/>
    <n v="1360"/>
    <n v="1360"/>
    <x v="112"/>
    <x v="16"/>
    <x v="6"/>
    <x v="17"/>
  </r>
  <r>
    <s v="ORD-00587"/>
    <x v="367"/>
    <s v="CUS-MYM-021"/>
    <s v="R08"/>
    <s v="ST-MYM-05"/>
    <x v="11"/>
    <s v="P041"/>
    <n v="1"/>
    <n v="0.05"/>
    <n v="907"/>
    <n v="2"/>
    <x v="15"/>
    <s v="Building Blocks"/>
    <s v="Kids &amp; Toys"/>
    <n v="840"/>
    <x v="112"/>
    <n v="460"/>
    <n v="460"/>
    <n v="380"/>
    <x v="80"/>
    <x v="11"/>
    <x v="2"/>
    <x v="28"/>
  </r>
  <r>
    <s v="ORD-00588"/>
    <x v="91"/>
    <s v="CUS-MYM-024"/>
    <s v="R08"/>
    <s v="ST-MYM-04"/>
    <x v="3"/>
    <s v="P036"/>
    <n v="5"/>
    <n v="0.05"/>
    <n v="2160"/>
    <n v="4"/>
    <x v="20"/>
    <s v="Notebook Pack"/>
    <s v="Stationery"/>
    <n v="400"/>
    <x v="233"/>
    <n v="200"/>
    <n v="1000"/>
    <n v="1000"/>
    <x v="94"/>
    <x v="3"/>
    <x v="2"/>
    <x v="34"/>
  </r>
  <r>
    <s v="ORD-00589"/>
    <x v="368"/>
    <s v="CUS-RAN-007"/>
    <s v="R07"/>
    <s v="ST-RAN-04"/>
    <x v="4"/>
    <s v="P040"/>
    <n v="2"/>
    <n v="0.02"/>
    <n v="1748"/>
    <n v="5"/>
    <x v="3"/>
    <s v="Sticky Notes"/>
    <s v="Stationery"/>
    <n v="760"/>
    <x v="234"/>
    <n v="380"/>
    <n v="760"/>
    <n v="760"/>
    <x v="30"/>
    <x v="4"/>
    <x v="0"/>
    <x v="13"/>
  </r>
  <r>
    <s v="ORD-00590"/>
    <x v="369"/>
    <s v="CUS-MYM-022"/>
    <s v="R08"/>
    <s v="ST-MYM-03"/>
    <x v="3"/>
    <s v="P005"/>
    <n v="5"/>
    <n v="0.18"/>
    <n v="26406"/>
    <n v="7"/>
    <x v="23"/>
    <s v="USB-C Hub"/>
    <s v="Electronics"/>
    <n v="4890"/>
    <x v="103"/>
    <n v="3330"/>
    <n v="16650"/>
    <n v="7800"/>
    <x v="25"/>
    <x v="3"/>
    <x v="2"/>
    <x v="10"/>
  </r>
  <r>
    <s v="ORD-00591"/>
    <x v="166"/>
    <s v="CUS-KHL-011"/>
    <s v="R05"/>
    <s v="ST-KHL-05"/>
    <x v="45"/>
    <s v="P019"/>
    <n v="6"/>
    <n v="0.02"/>
    <n v="2878"/>
    <n v="9"/>
    <x v="22"/>
    <s v="Flour 2kg"/>
    <s v="Grocery"/>
    <n v="440"/>
    <x v="12"/>
    <n v="340"/>
    <n v="2040"/>
    <n v="600"/>
    <x v="105"/>
    <x v="45"/>
    <x v="6"/>
    <x v="30"/>
  </r>
  <r>
    <s v="ORD-00592"/>
    <x v="192"/>
    <s v="CUS-RAN-013"/>
    <s v="R07"/>
    <s v="ST-RAN-02"/>
    <x v="4"/>
    <s v="P002"/>
    <n v="1"/>
    <n v="0.08"/>
    <n v="3841"/>
    <n v="5"/>
    <x v="29"/>
    <s v="Wireless Mouse"/>
    <s v="Electronics"/>
    <n v="3340"/>
    <x v="55"/>
    <n v="2270"/>
    <n v="2270"/>
    <n v="1070"/>
    <x v="41"/>
    <x v="4"/>
    <x v="0"/>
    <x v="6"/>
  </r>
  <r>
    <s v="ORD-00593"/>
    <x v="22"/>
    <s v="CUS-BAR-019"/>
    <s v="R06"/>
    <s v="ST-BAR-04"/>
    <x v="10"/>
    <s v="P043"/>
    <n v="3"/>
    <n v="0.12"/>
    <n v="7392"/>
    <n v="6"/>
    <x v="28"/>
    <s v="Puzzle Board"/>
    <s v="Kids &amp; Toys"/>
    <n v="2200"/>
    <x v="235"/>
    <n v="1210"/>
    <n v="3630"/>
    <n v="2970"/>
    <x v="10"/>
    <x v="10"/>
    <x v="5"/>
    <x v="12"/>
  </r>
  <r>
    <s v="ORD-00594"/>
    <x v="192"/>
    <s v="CUS-MYM-001"/>
    <s v="R08"/>
    <s v="ST-MYM-02"/>
    <x v="11"/>
    <s v="P002"/>
    <n v="2"/>
    <n v="0.1"/>
    <n v="7214"/>
    <n v="7"/>
    <x v="12"/>
    <s v="Wireless Mouse"/>
    <s v="Electronics"/>
    <n v="3340"/>
    <x v="15"/>
    <n v="2270"/>
    <n v="4540"/>
    <n v="2140"/>
    <x v="19"/>
    <x v="11"/>
    <x v="2"/>
    <x v="20"/>
  </r>
  <r>
    <s v="ORD-00595"/>
    <x v="234"/>
    <s v="CUS-KHL-022"/>
    <s v="R05"/>
    <s v="ST-KHL-05"/>
    <x v="45"/>
    <s v="P012"/>
    <n v="3"/>
    <n v="0.05"/>
    <n v="5951"/>
    <n v="1"/>
    <x v="7"/>
    <s v="Formal Shirt"/>
    <s v="Fashion"/>
    <n v="1820"/>
    <x v="20"/>
    <n v="1000"/>
    <n v="3000"/>
    <n v="2460"/>
    <x v="24"/>
    <x v="45"/>
    <x v="6"/>
    <x v="30"/>
  </r>
  <r>
    <s v="ORD-00596"/>
    <x v="264"/>
    <s v="CUS-RAN-006"/>
    <s v="R07"/>
    <s v="ST-RAN-01"/>
    <x v="27"/>
    <s v="P017"/>
    <n v="4"/>
    <n v="0.05"/>
    <n v="1702"/>
    <n v="9"/>
    <x v="9"/>
    <s v="Soybean Oil 5L"/>
    <s v="Grocery"/>
    <n v="370"/>
    <x v="182"/>
    <n v="290"/>
    <n v="1160"/>
    <n v="320"/>
    <x v="20"/>
    <x v="27"/>
    <x v="0"/>
    <x v="0"/>
  </r>
  <r>
    <s v="ORD-00597"/>
    <x v="97"/>
    <s v="CUS-RAJ-005"/>
    <s v="R04"/>
    <s v="ST-RAJ-02"/>
    <x v="26"/>
    <s v="P011"/>
    <n v="1"/>
    <n v="0.12"/>
    <n v="2020"/>
    <n v="6"/>
    <x v="28"/>
    <s v="Cotton T-Shirt"/>
    <s v="Fashion"/>
    <n v="1870"/>
    <x v="43"/>
    <n v="1030"/>
    <n v="1030"/>
    <n v="840"/>
    <x v="2"/>
    <x v="26"/>
    <x v="1"/>
    <x v="2"/>
  </r>
  <r>
    <s v="ORD-00598"/>
    <x v="208"/>
    <s v="CUS-MYM-009"/>
    <s v="R08"/>
    <s v="ST-MYM-02"/>
    <x v="17"/>
    <s v="P050"/>
    <n v="2"/>
    <n v="0.12"/>
    <n v="12679"/>
    <n v="5"/>
    <x v="5"/>
    <s v="Bedside Table"/>
    <s v="Furniture"/>
    <n v="5870"/>
    <x v="59"/>
    <n v="4230"/>
    <n v="8460"/>
    <n v="3280"/>
    <x v="122"/>
    <x v="17"/>
    <x v="2"/>
    <x v="20"/>
  </r>
  <r>
    <s v="ORD-00599"/>
    <x v="324"/>
    <s v="CUS-RAJ-017"/>
    <s v="R04"/>
    <s v="ST-RAJ-03"/>
    <x v="40"/>
    <s v="P042"/>
    <n v="2"/>
    <n v="0.03"/>
    <n v="3931"/>
    <n v="3"/>
    <x v="10"/>
    <s v="Toy Car Set"/>
    <s v="Kids &amp; Toys"/>
    <n v="1820"/>
    <x v="48"/>
    <n v="1000"/>
    <n v="2000"/>
    <n v="1640"/>
    <x v="55"/>
    <x v="40"/>
    <x v="1"/>
    <x v="18"/>
  </r>
  <r>
    <s v="ORD-00600"/>
    <x v="134"/>
    <s v="CUS-MYM-012"/>
    <s v="R08"/>
    <s v="ST-MYM-03"/>
    <x v="19"/>
    <s v="P023"/>
    <n v="2"/>
    <n v="0.05"/>
    <n v="2506"/>
    <n v="8"/>
    <x v="30"/>
    <s v="Body Lotion"/>
    <s v="Beauty &amp; Personal Care"/>
    <n v="1160"/>
    <x v="5"/>
    <n v="670"/>
    <n v="1340"/>
    <n v="980"/>
    <x v="63"/>
    <x v="19"/>
    <x v="2"/>
    <x v="10"/>
  </r>
  <r>
    <s v="ORD-00601"/>
    <x v="73"/>
    <s v="CUS-RAN-015"/>
    <s v="R07"/>
    <s v="ST-RAN-04"/>
    <x v="0"/>
    <s v="P004"/>
    <n v="2"/>
    <n v="0.1"/>
    <n v="8901"/>
    <n v="7"/>
    <x v="12"/>
    <s v="Smart Watch"/>
    <s v="Electronics"/>
    <n v="3870"/>
    <x v="118"/>
    <n v="2630"/>
    <n v="5260"/>
    <n v="2480"/>
    <x v="129"/>
    <x v="0"/>
    <x v="0"/>
    <x v="13"/>
  </r>
  <r>
    <s v="ORD-00602"/>
    <x v="86"/>
    <s v="CUS-KHL-022"/>
    <s v="R05"/>
    <s v="ST-KHL-01"/>
    <x v="13"/>
    <s v="P031"/>
    <n v="6"/>
    <n v="0.1"/>
    <n v="17266"/>
    <n v="2"/>
    <x v="24"/>
    <s v="Cricket Bat"/>
    <s v="Sports"/>
    <n v="2640"/>
    <x v="130"/>
    <n v="1640"/>
    <n v="9840"/>
    <n v="6000"/>
    <x v="24"/>
    <x v="13"/>
    <x v="6"/>
    <x v="24"/>
  </r>
  <r>
    <s v="ORD-00603"/>
    <x v="346"/>
    <s v="CUS-CTG-012"/>
    <s v="R02"/>
    <s v="ST-CTG-01"/>
    <x v="41"/>
    <s v="P015"/>
    <n v="2"/>
    <n v="0.05"/>
    <n v="5974"/>
    <n v="5"/>
    <x v="19"/>
    <s v="Leather Belt"/>
    <s v="Fashion"/>
    <n v="2620"/>
    <x v="162"/>
    <n v="1440"/>
    <n v="2880"/>
    <n v="2360"/>
    <x v="1"/>
    <x v="41"/>
    <x v="7"/>
    <x v="37"/>
  </r>
  <r>
    <s v="ORD-00604"/>
    <x v="3"/>
    <s v="CUS-MYM-001"/>
    <s v="R08"/>
    <s v="ST-MYM-01"/>
    <x v="43"/>
    <s v="P029"/>
    <n v="4"/>
    <n v="0.1"/>
    <n v="11578"/>
    <n v="6"/>
    <x v="16"/>
    <s v="Kids Sneaker"/>
    <s v="Footwear"/>
    <n v="2680"/>
    <x v="14"/>
    <n v="1610"/>
    <n v="6440"/>
    <n v="4280"/>
    <x v="19"/>
    <x v="43"/>
    <x v="2"/>
    <x v="3"/>
  </r>
  <r>
    <s v="ORD-00605"/>
    <x v="160"/>
    <s v="CUS-RAJ-013"/>
    <s v="R04"/>
    <s v="ST-RAJ-01"/>
    <x v="1"/>
    <s v="P005"/>
    <n v="2"/>
    <n v="0.15"/>
    <n v="10562"/>
    <n v="3"/>
    <x v="17"/>
    <s v="USB-C Hub"/>
    <s v="Electronics"/>
    <n v="4890"/>
    <x v="19"/>
    <n v="3330"/>
    <n v="6660"/>
    <n v="3120"/>
    <x v="130"/>
    <x v="1"/>
    <x v="1"/>
    <x v="36"/>
  </r>
  <r>
    <s v="ORD-00606"/>
    <x v="370"/>
    <s v="CUS-RAJ-023"/>
    <s v="R04"/>
    <s v="ST-RAJ-04"/>
    <x v="46"/>
    <s v="P012"/>
    <n v="5"/>
    <n v="0.05"/>
    <n v="9828"/>
    <n v="4"/>
    <x v="20"/>
    <s v="Formal Shirt"/>
    <s v="Fashion"/>
    <n v="1820"/>
    <x v="149"/>
    <n v="1000"/>
    <n v="5000"/>
    <n v="4100"/>
    <x v="50"/>
    <x v="46"/>
    <x v="1"/>
    <x v="1"/>
  </r>
  <r>
    <s v="ORD-00607"/>
    <x v="16"/>
    <s v="CUS-DHA-020"/>
    <s v="R01"/>
    <s v="ST-DHA-01"/>
    <x v="28"/>
    <s v="P006"/>
    <n v="1"/>
    <n v="0.08"/>
    <n v="7632"/>
    <n v="4"/>
    <x v="6"/>
    <s v="Electric Kettle"/>
    <s v="Home Appliance"/>
    <n v="7200"/>
    <x v="0"/>
    <n v="5040"/>
    <n v="5040"/>
    <n v="2160"/>
    <x v="53"/>
    <x v="28"/>
    <x v="4"/>
    <x v="29"/>
  </r>
  <r>
    <s v="ORD-00608"/>
    <x v="259"/>
    <s v="CUS-BAR-006"/>
    <s v="R06"/>
    <s v="ST-BAR-02"/>
    <x v="10"/>
    <s v="P001"/>
    <n v="2"/>
    <n v="0.08"/>
    <n v="7258"/>
    <n v="4"/>
    <x v="6"/>
    <s v="Bluetooth Speaker"/>
    <s v="Electronics"/>
    <n v="3240"/>
    <x v="95"/>
    <n v="2200"/>
    <n v="4400"/>
    <n v="2080"/>
    <x v="22"/>
    <x v="10"/>
    <x v="5"/>
    <x v="11"/>
  </r>
  <r>
    <s v="ORD-00609"/>
    <x v="58"/>
    <s v="CUS-CTG-013"/>
    <s v="R02"/>
    <s v="ST-CTG-03"/>
    <x v="39"/>
    <s v="P001"/>
    <n v="1"/>
    <n v="0.15"/>
    <n v="3694"/>
    <n v="5"/>
    <x v="5"/>
    <s v="Bluetooth Speaker"/>
    <s v="Electronics"/>
    <n v="3240"/>
    <x v="40"/>
    <n v="2200"/>
    <n v="2200"/>
    <n v="1040"/>
    <x v="2"/>
    <x v="39"/>
    <x v="7"/>
    <x v="16"/>
  </r>
  <r>
    <s v="ORD-00610"/>
    <x v="294"/>
    <s v="CUS-BAR-008"/>
    <s v="R06"/>
    <s v="ST-BAR-02"/>
    <x v="47"/>
    <s v="P001"/>
    <n v="10"/>
    <n v="0.12"/>
    <n v="36288"/>
    <n v="1"/>
    <x v="1"/>
    <s v="Bluetooth Speaker"/>
    <s v="Electronics"/>
    <n v="3240"/>
    <x v="226"/>
    <n v="2200"/>
    <n v="22000"/>
    <n v="10400"/>
    <x v="90"/>
    <x v="47"/>
    <x v="5"/>
    <x v="11"/>
  </r>
  <r>
    <s v="ORD-00611"/>
    <x v="176"/>
    <s v="CUS-RAJ-022"/>
    <s v="R04"/>
    <s v="ST-RAJ-01"/>
    <x v="46"/>
    <s v="P048"/>
    <n v="6"/>
    <n v="0.05"/>
    <n v="34474"/>
    <n v="6"/>
    <x v="4"/>
    <s v="Shoe Rack"/>
    <s v="Furniture"/>
    <n v="5320"/>
    <x v="236"/>
    <n v="3830"/>
    <n v="22980"/>
    <n v="8940"/>
    <x v="62"/>
    <x v="46"/>
    <x v="1"/>
    <x v="36"/>
  </r>
  <r>
    <s v="ORD-00612"/>
    <x v="66"/>
    <s v="CUS-CTG-011"/>
    <s v="R02"/>
    <s v="ST-CTG-03"/>
    <x v="18"/>
    <s v="P024"/>
    <n v="6"/>
    <n v="0.1"/>
    <n v="9644"/>
    <n v="4"/>
    <x v="6"/>
    <s v="Toothpaste Twin Pack"/>
    <s v="Beauty &amp; Personal Care"/>
    <n v="1410"/>
    <x v="207"/>
    <n v="820"/>
    <n v="4920"/>
    <n v="3540"/>
    <x v="61"/>
    <x v="18"/>
    <x v="7"/>
    <x v="16"/>
  </r>
  <r>
    <s v="ORD-00613"/>
    <x v="174"/>
    <s v="CUS-RAN-004"/>
    <s v="R07"/>
    <s v="ST-RAN-02"/>
    <x v="27"/>
    <s v="P002"/>
    <n v="1"/>
    <n v="0.15"/>
    <n v="3841"/>
    <n v="6"/>
    <x v="28"/>
    <s v="Wireless Mouse"/>
    <s v="Electronics"/>
    <n v="3340"/>
    <x v="55"/>
    <n v="2270"/>
    <n v="2270"/>
    <n v="1070"/>
    <x v="74"/>
    <x v="27"/>
    <x v="0"/>
    <x v="6"/>
  </r>
  <r>
    <s v="ORD-00614"/>
    <x v="370"/>
    <s v="CUS-RAJ-015"/>
    <s v="R04"/>
    <s v="ST-RAJ-02"/>
    <x v="1"/>
    <s v="P026"/>
    <n v="3"/>
    <n v="7.0000000000000007E-2"/>
    <n v="11372"/>
    <n v="4"/>
    <x v="20"/>
    <s v="Running Shoe"/>
    <s v="Footwear"/>
    <n v="3510"/>
    <x v="193"/>
    <n v="2110"/>
    <n v="6330"/>
    <n v="4200"/>
    <x v="93"/>
    <x v="1"/>
    <x v="1"/>
    <x v="2"/>
  </r>
  <r>
    <s v="ORD-00615"/>
    <x v="255"/>
    <s v="CUS-DHA-003"/>
    <s v="R01"/>
    <s v="ST-DHA-02"/>
    <x v="6"/>
    <s v="P006"/>
    <n v="10"/>
    <n v="0.08"/>
    <n v="76320"/>
    <n v="3"/>
    <x v="25"/>
    <s v="Electric Kettle"/>
    <s v="Home Appliance"/>
    <n v="7200"/>
    <x v="237"/>
    <n v="5040"/>
    <n v="50400"/>
    <n v="21600"/>
    <x v="65"/>
    <x v="6"/>
    <x v="4"/>
    <x v="8"/>
  </r>
  <r>
    <s v="ORD-00616"/>
    <x v="10"/>
    <s v="CUS-SYL-009"/>
    <s v="R03"/>
    <s v="ST-SYL-01"/>
    <x v="5"/>
    <s v="P007"/>
    <n v="3"/>
    <n v="0.1"/>
    <n v="23850"/>
    <n v="2"/>
    <x v="24"/>
    <s v="Rice Cooker"/>
    <s v="Home Appliance"/>
    <n v="7430"/>
    <x v="88"/>
    <n v="5200"/>
    <n v="15600"/>
    <n v="6690"/>
    <x v="138"/>
    <x v="5"/>
    <x v="3"/>
    <x v="25"/>
  </r>
  <r>
    <s v="ORD-00617"/>
    <x v="371"/>
    <s v="CUS-BAR-006"/>
    <s v="R06"/>
    <s v="ST-BAR-03"/>
    <x v="10"/>
    <s v="P013"/>
    <n v="3"/>
    <n v="0.1"/>
    <n v="6686"/>
    <n v="3"/>
    <x v="21"/>
    <s v="Women Kurti"/>
    <s v="Fashion"/>
    <n v="1990"/>
    <x v="25"/>
    <n v="1090"/>
    <n v="3270"/>
    <n v="2700"/>
    <x v="22"/>
    <x v="10"/>
    <x v="5"/>
    <x v="27"/>
  </r>
  <r>
    <s v="ORD-00618"/>
    <x v="372"/>
    <s v="CUS-RAJ-017"/>
    <s v="R04"/>
    <s v="ST-RAJ-05"/>
    <x v="30"/>
    <s v="P050"/>
    <n v="1"/>
    <n v="0.03"/>
    <n v="6340"/>
    <n v="8"/>
    <x v="23"/>
    <s v="Bedside Table"/>
    <s v="Furniture"/>
    <n v="5870"/>
    <x v="158"/>
    <n v="4230"/>
    <n v="4230"/>
    <n v="1640"/>
    <x v="55"/>
    <x v="30"/>
    <x v="1"/>
    <x v="38"/>
  </r>
  <r>
    <s v="ORD-00619"/>
    <x v="244"/>
    <s v="CUS-KHL-008"/>
    <s v="R05"/>
    <s v="ST-KHL-04"/>
    <x v="36"/>
    <s v="P023"/>
    <n v="2"/>
    <n v="7.0000000000000007E-2"/>
    <n v="2529"/>
    <n v="4"/>
    <x v="20"/>
    <s v="Body Lotion"/>
    <s v="Beauty &amp; Personal Care"/>
    <n v="1160"/>
    <x v="5"/>
    <n v="670"/>
    <n v="1340"/>
    <n v="980"/>
    <x v="91"/>
    <x v="36"/>
    <x v="6"/>
    <x v="19"/>
  </r>
  <r>
    <s v="ORD-00620"/>
    <x v="373"/>
    <s v="CUS-DHA-008"/>
    <s v="R01"/>
    <s v="ST-DHA-05"/>
    <x v="6"/>
    <s v="P032"/>
    <n v="2"/>
    <n v="0.03"/>
    <n v="7886"/>
    <n v="4"/>
    <x v="17"/>
    <s v="Football"/>
    <s v="Sports"/>
    <n v="3720"/>
    <x v="44"/>
    <n v="2310"/>
    <n v="4620"/>
    <n v="2820"/>
    <x v="66"/>
    <x v="6"/>
    <x v="4"/>
    <x v="15"/>
  </r>
  <r>
    <s v="ORD-00621"/>
    <x v="235"/>
    <s v="CUS-RAN-021"/>
    <s v="R07"/>
    <s v="ST-RAN-03"/>
    <x v="7"/>
    <s v="P005"/>
    <n v="2"/>
    <n v="0.18"/>
    <n v="11247"/>
    <n v="10"/>
    <x v="31"/>
    <s v="USB-C Hub"/>
    <s v="Electronics"/>
    <n v="4890"/>
    <x v="19"/>
    <n v="3330"/>
    <n v="6660"/>
    <n v="3120"/>
    <x v="15"/>
    <x v="7"/>
    <x v="0"/>
    <x v="26"/>
  </r>
  <r>
    <s v="ORD-00622"/>
    <x v="84"/>
    <s v="CUS-RAJ-022"/>
    <s v="R04"/>
    <s v="ST-RAJ-02"/>
    <x v="40"/>
    <s v="P041"/>
    <n v="1"/>
    <n v="0.03"/>
    <n v="907"/>
    <n v="5"/>
    <x v="19"/>
    <s v="Building Blocks"/>
    <s v="Kids &amp; Toys"/>
    <n v="840"/>
    <x v="112"/>
    <n v="460"/>
    <n v="460"/>
    <n v="380"/>
    <x v="62"/>
    <x v="40"/>
    <x v="1"/>
    <x v="2"/>
  </r>
  <r>
    <s v="ORD-00623"/>
    <x v="104"/>
    <s v="CUS-CTG-016"/>
    <s v="R02"/>
    <s v="ST-CTG-01"/>
    <x v="23"/>
    <s v="P001"/>
    <n v="6"/>
    <n v="0.1"/>
    <n v="22162"/>
    <n v="7"/>
    <x v="12"/>
    <s v="Bluetooth Speaker"/>
    <s v="Electronics"/>
    <n v="3240"/>
    <x v="82"/>
    <n v="2200"/>
    <n v="13200"/>
    <n v="6240"/>
    <x v="115"/>
    <x v="23"/>
    <x v="7"/>
    <x v="37"/>
  </r>
  <r>
    <s v="ORD-00624"/>
    <x v="157"/>
    <s v="CUS-RAJ-008"/>
    <s v="R04"/>
    <s v="ST-RAJ-05"/>
    <x v="1"/>
    <s v="P011"/>
    <n v="4"/>
    <n v="0.05"/>
    <n v="8078"/>
    <n v="5"/>
    <x v="19"/>
    <s v="Cotton T-Shirt"/>
    <s v="Fashion"/>
    <n v="1870"/>
    <x v="35"/>
    <n v="1030"/>
    <n v="4120"/>
    <n v="3360"/>
    <x v="40"/>
    <x v="1"/>
    <x v="1"/>
    <x v="38"/>
  </r>
  <r>
    <s v="ORD-00625"/>
    <x v="88"/>
    <s v="CUS-RAJ-014"/>
    <s v="R04"/>
    <s v="ST-RAJ-02"/>
    <x v="40"/>
    <s v="P005"/>
    <n v="3"/>
    <n v="0.1"/>
    <n v="15844"/>
    <n v="4"/>
    <x v="6"/>
    <s v="USB-C Hub"/>
    <s v="Electronics"/>
    <n v="4890"/>
    <x v="27"/>
    <n v="3330"/>
    <n v="9990"/>
    <n v="4680"/>
    <x v="49"/>
    <x v="40"/>
    <x v="1"/>
    <x v="2"/>
  </r>
  <r>
    <s v="ORD-00626"/>
    <x v="374"/>
    <s v="CUS-CTG-012"/>
    <s v="R02"/>
    <s v="ST-CTG-04"/>
    <x v="39"/>
    <s v="P004"/>
    <n v="4"/>
    <n v="0.15"/>
    <n v="17647"/>
    <n v="8"/>
    <x v="22"/>
    <s v="Smart Watch"/>
    <s v="Electronics"/>
    <n v="3870"/>
    <x v="68"/>
    <n v="2630"/>
    <n v="10520"/>
    <n v="4960"/>
    <x v="1"/>
    <x v="39"/>
    <x v="7"/>
    <x v="33"/>
  </r>
  <r>
    <s v="ORD-00627"/>
    <x v="155"/>
    <s v="CUS-SYL-016"/>
    <s v="R03"/>
    <s v="ST-SYL-01"/>
    <x v="32"/>
    <s v="P011"/>
    <n v="5"/>
    <n v="0.12"/>
    <n v="10004"/>
    <n v="1"/>
    <x v="1"/>
    <s v="Cotton T-Shirt"/>
    <s v="Fashion"/>
    <n v="1870"/>
    <x v="73"/>
    <n v="1030"/>
    <n v="5150"/>
    <n v="4200"/>
    <x v="48"/>
    <x v="32"/>
    <x v="3"/>
    <x v="25"/>
  </r>
  <r>
    <s v="ORD-00628"/>
    <x v="156"/>
    <s v="CUS-SYL-009"/>
    <s v="R03"/>
    <s v="ST-SYL-04"/>
    <x v="32"/>
    <s v="P007"/>
    <n v="2"/>
    <n v="0.18"/>
    <n v="15900"/>
    <n v="4"/>
    <x v="19"/>
    <s v="Rice Cooker"/>
    <s v="Home Appliance"/>
    <n v="7430"/>
    <x v="238"/>
    <n v="5200"/>
    <n v="10400"/>
    <n v="4460"/>
    <x v="138"/>
    <x v="32"/>
    <x v="3"/>
    <x v="21"/>
  </r>
  <r>
    <s v="ORD-00629"/>
    <x v="375"/>
    <s v="CUS-MYM-003"/>
    <s v="R08"/>
    <s v="ST-MYM-03"/>
    <x v="11"/>
    <s v="P030"/>
    <n v="1"/>
    <n v="0.05"/>
    <n v="2020"/>
    <n v="8"/>
    <x v="30"/>
    <s v="Casual Loafer"/>
    <s v="Footwear"/>
    <n v="1870"/>
    <x v="43"/>
    <n v="1120"/>
    <n v="1120"/>
    <n v="750"/>
    <x v="124"/>
    <x v="11"/>
    <x v="2"/>
    <x v="10"/>
  </r>
  <r>
    <s v="ORD-00630"/>
    <x v="376"/>
    <s v="CUS-BAR-016"/>
    <s v="R06"/>
    <s v="ST-BAR-04"/>
    <x v="22"/>
    <s v="P046"/>
    <n v="2"/>
    <n v="7.0000000000000007E-2"/>
    <n v="9811"/>
    <n v="7"/>
    <x v="2"/>
    <s v="Office Chair"/>
    <s v="Furniture"/>
    <n v="4380"/>
    <x v="174"/>
    <n v="3150"/>
    <n v="6300"/>
    <n v="2460"/>
    <x v="38"/>
    <x v="22"/>
    <x v="5"/>
    <x v="12"/>
  </r>
  <r>
    <s v="ORD-00631"/>
    <x v="207"/>
    <s v="CUS-CTG-014"/>
    <s v="R02"/>
    <s v="ST-CTG-01"/>
    <x v="41"/>
    <s v="P009"/>
    <n v="1"/>
    <n v="0.15"/>
    <n v="5198"/>
    <n v="10"/>
    <x v="35"/>
    <s v="Steam Iron"/>
    <s v="Home Appliance"/>
    <n v="4560"/>
    <x v="115"/>
    <n v="3190"/>
    <n v="3190"/>
    <n v="1370"/>
    <x v="32"/>
    <x v="41"/>
    <x v="7"/>
    <x v="37"/>
  </r>
  <r>
    <s v="ORD-00632"/>
    <x v="377"/>
    <s v="CUS-BAR-017"/>
    <s v="R06"/>
    <s v="ST-BAR-04"/>
    <x v="10"/>
    <s v="P028"/>
    <n v="4"/>
    <n v="0.05"/>
    <n v="14426"/>
    <n v="4"/>
    <x v="20"/>
    <s v="Ladies Sandal"/>
    <s v="Footwear"/>
    <n v="3220"/>
    <x v="222"/>
    <n v="1930"/>
    <n v="7720"/>
    <n v="5160"/>
    <x v="139"/>
    <x v="10"/>
    <x v="5"/>
    <x v="12"/>
  </r>
  <r>
    <s v="ORD-00633"/>
    <x v="294"/>
    <s v="CUS-RAJ-016"/>
    <s v="R04"/>
    <s v="ST-RAJ-01"/>
    <x v="26"/>
    <s v="P024"/>
    <n v="4"/>
    <n v="0.05"/>
    <n v="6091"/>
    <n v="4"/>
    <x v="20"/>
    <s v="Toothpaste Twin Pack"/>
    <s v="Beauty &amp; Personal Care"/>
    <n v="1410"/>
    <x v="239"/>
    <n v="820"/>
    <n v="3280"/>
    <n v="2360"/>
    <x v="30"/>
    <x v="26"/>
    <x v="1"/>
    <x v="36"/>
  </r>
  <r>
    <s v="ORD-00634"/>
    <x v="326"/>
    <s v="CUS-SYL-009"/>
    <s v="R03"/>
    <s v="ST-SYL-02"/>
    <x v="5"/>
    <s v="P020"/>
    <n v="1"/>
    <n v="0"/>
    <n v="2290"/>
    <n v="5"/>
    <x v="3"/>
    <s v="Tea Pack 500g"/>
    <s v="Grocery"/>
    <n v="2140"/>
    <x v="141"/>
    <n v="1670"/>
    <n v="1670"/>
    <n v="470"/>
    <x v="138"/>
    <x v="5"/>
    <x v="3"/>
    <x v="32"/>
  </r>
  <r>
    <s v="ORD-00635"/>
    <x v="312"/>
    <s v="CUS-RAN-013"/>
    <s v="R07"/>
    <s v="ST-RAN-05"/>
    <x v="7"/>
    <s v="P016"/>
    <n v="5"/>
    <n v="0.02"/>
    <n v="6382"/>
    <n v="7"/>
    <x v="11"/>
    <s v="Premium Rice 5kg"/>
    <s v="Grocery"/>
    <n v="1110"/>
    <x v="62"/>
    <n v="870"/>
    <n v="4350"/>
    <n v="1200"/>
    <x v="41"/>
    <x v="7"/>
    <x v="0"/>
    <x v="39"/>
  </r>
  <r>
    <s v="ORD-00636"/>
    <x v="378"/>
    <s v="CUS-KHL-017"/>
    <s v="R05"/>
    <s v="ST-KHL-05"/>
    <x v="13"/>
    <s v="P042"/>
    <n v="4"/>
    <n v="0.03"/>
    <n v="7935"/>
    <n v="2"/>
    <x v="15"/>
    <s v="Toy Car Set"/>
    <s v="Kids &amp; Toys"/>
    <n v="1820"/>
    <x v="50"/>
    <n v="1000"/>
    <n v="4000"/>
    <n v="3280"/>
    <x v="119"/>
    <x v="13"/>
    <x v="6"/>
    <x v="30"/>
  </r>
  <r>
    <s v="ORD-00637"/>
    <x v="28"/>
    <s v="CUS-CTG-021"/>
    <s v="R02"/>
    <s v="ST-CTG-05"/>
    <x v="15"/>
    <s v="P037"/>
    <n v="4"/>
    <n v="0.05"/>
    <n v="1550"/>
    <n v="5"/>
    <x v="19"/>
    <s v="Ball Pen Box"/>
    <s v="Stationery"/>
    <n v="340"/>
    <x v="65"/>
    <n v="170"/>
    <n v="680"/>
    <n v="680"/>
    <x v="98"/>
    <x v="15"/>
    <x v="7"/>
    <x v="31"/>
  </r>
  <r>
    <s v="ORD-00638"/>
    <x v="379"/>
    <s v="CUS-SYL-016"/>
    <s v="R03"/>
    <s v="ST-SYL-01"/>
    <x v="34"/>
    <s v="P002"/>
    <n v="5"/>
    <n v="0.12"/>
    <n v="17869"/>
    <n v="3"/>
    <x v="21"/>
    <s v="Wireless Mouse"/>
    <s v="Electronics"/>
    <n v="3340"/>
    <x v="164"/>
    <n v="2270"/>
    <n v="11350"/>
    <n v="5350"/>
    <x v="48"/>
    <x v="34"/>
    <x v="3"/>
    <x v="25"/>
  </r>
  <r>
    <s v="ORD-00639"/>
    <x v="119"/>
    <s v="CUS-RAN-006"/>
    <s v="R07"/>
    <s v="ST-RAN-02"/>
    <x v="42"/>
    <s v="P004"/>
    <n v="1"/>
    <n v="0.1"/>
    <n v="4450"/>
    <n v="5"/>
    <x v="29"/>
    <s v="Smart Watch"/>
    <s v="Electronics"/>
    <n v="3870"/>
    <x v="80"/>
    <n v="2630"/>
    <n v="2630"/>
    <n v="1240"/>
    <x v="20"/>
    <x v="42"/>
    <x v="0"/>
    <x v="6"/>
  </r>
  <r>
    <s v="ORD-00640"/>
    <x v="177"/>
    <s v="CUS-RAJ-006"/>
    <s v="R04"/>
    <s v="ST-RAJ-02"/>
    <x v="1"/>
    <s v="P032"/>
    <n v="2"/>
    <n v="0.1"/>
    <n v="8035"/>
    <n v="4"/>
    <x v="6"/>
    <s v="Football"/>
    <s v="Sports"/>
    <n v="3720"/>
    <x v="44"/>
    <n v="2310"/>
    <n v="4620"/>
    <n v="2820"/>
    <x v="21"/>
    <x v="1"/>
    <x v="1"/>
    <x v="2"/>
  </r>
  <r>
    <s v="ORD-00641"/>
    <x v="380"/>
    <s v="CUS-MYM-021"/>
    <s v="R08"/>
    <s v="ST-MYM-05"/>
    <x v="17"/>
    <s v="P041"/>
    <n v="1"/>
    <n v="0.03"/>
    <n v="907"/>
    <n v="3"/>
    <x v="10"/>
    <s v="Building Blocks"/>
    <s v="Kids &amp; Toys"/>
    <n v="840"/>
    <x v="112"/>
    <n v="460"/>
    <n v="460"/>
    <n v="380"/>
    <x v="80"/>
    <x v="17"/>
    <x v="2"/>
    <x v="28"/>
  </r>
  <r>
    <s v="ORD-00642"/>
    <x v="359"/>
    <s v="CUS-BAR-001"/>
    <s v="R06"/>
    <s v="ST-BAR-05"/>
    <x v="8"/>
    <s v="P013"/>
    <n v="2"/>
    <n v="0.03"/>
    <n v="4458"/>
    <n v="6"/>
    <x v="4"/>
    <s v="Women Kurti"/>
    <s v="Fashion"/>
    <n v="1990"/>
    <x v="240"/>
    <n v="1090"/>
    <n v="2180"/>
    <n v="1800"/>
    <x v="49"/>
    <x v="8"/>
    <x v="5"/>
    <x v="7"/>
  </r>
  <r>
    <s v="ORD-00643"/>
    <x v="277"/>
    <s v="CUS-DHA-004"/>
    <s v="R01"/>
    <s v="ST-DHA-02"/>
    <x v="9"/>
    <s v="P036"/>
    <n v="3"/>
    <n v="0.03"/>
    <n v="1272"/>
    <n v="4"/>
    <x v="17"/>
    <s v="Notebook Pack"/>
    <s v="Stationery"/>
    <n v="400"/>
    <x v="196"/>
    <n v="200"/>
    <n v="600"/>
    <n v="600"/>
    <x v="120"/>
    <x v="9"/>
    <x v="4"/>
    <x v="8"/>
  </r>
  <r>
    <s v="ORD-00644"/>
    <x v="85"/>
    <s v="CUS-BAR-020"/>
    <s v="R06"/>
    <s v="ST-BAR-04"/>
    <x v="33"/>
    <s v="P009"/>
    <n v="10"/>
    <n v="0.12"/>
    <n v="51072"/>
    <n v="6"/>
    <x v="28"/>
    <s v="Steam Iron"/>
    <s v="Home Appliance"/>
    <n v="4560"/>
    <x v="241"/>
    <n v="3190"/>
    <n v="31900"/>
    <n v="13700"/>
    <x v="12"/>
    <x v="33"/>
    <x v="5"/>
    <x v="12"/>
  </r>
  <r>
    <s v="ORD-00645"/>
    <x v="75"/>
    <s v="CUS-RAN-013"/>
    <s v="R07"/>
    <s v="ST-RAN-05"/>
    <x v="7"/>
    <s v="P049"/>
    <n v="5"/>
    <n v="0.1"/>
    <n v="24322"/>
    <n v="9"/>
    <x v="32"/>
    <s v="Bookshelf"/>
    <s v="Furniture"/>
    <n v="4230"/>
    <x v="34"/>
    <n v="3050"/>
    <n v="15250"/>
    <n v="5900"/>
    <x v="41"/>
    <x v="7"/>
    <x v="0"/>
    <x v="39"/>
  </r>
  <r>
    <s v="ORD-00646"/>
    <x v="361"/>
    <s v="CUS-SYL-001"/>
    <s v="R03"/>
    <s v="ST-SYL-05"/>
    <x v="34"/>
    <s v="P041"/>
    <n v="8"/>
    <n v="0.05"/>
    <n v="7190"/>
    <n v="2"/>
    <x v="15"/>
    <s v="Building Blocks"/>
    <s v="Kids &amp; Toys"/>
    <n v="840"/>
    <x v="98"/>
    <n v="460"/>
    <n v="3680"/>
    <n v="3040"/>
    <x v="82"/>
    <x v="34"/>
    <x v="3"/>
    <x v="4"/>
  </r>
  <r>
    <s v="ORD-00647"/>
    <x v="97"/>
    <s v="CUS-BAR-015"/>
    <s v="R06"/>
    <s v="ST-BAR-05"/>
    <x v="10"/>
    <s v="P026"/>
    <n v="3"/>
    <n v="0.05"/>
    <n v="11794"/>
    <n v="8"/>
    <x v="30"/>
    <s v="Running Shoe"/>
    <s v="Footwear"/>
    <n v="3510"/>
    <x v="193"/>
    <n v="2110"/>
    <n v="6330"/>
    <n v="4200"/>
    <x v="69"/>
    <x v="10"/>
    <x v="5"/>
    <x v="7"/>
  </r>
  <r>
    <s v="ORD-00648"/>
    <x v="346"/>
    <s v="CUS-BAR-001"/>
    <s v="R06"/>
    <s v="ST-BAR-03"/>
    <x v="47"/>
    <s v="P048"/>
    <n v="3"/>
    <n v="0.05"/>
    <n v="17875"/>
    <n v="7"/>
    <x v="11"/>
    <s v="Shoe Rack"/>
    <s v="Furniture"/>
    <n v="5320"/>
    <x v="242"/>
    <n v="3830"/>
    <n v="11490"/>
    <n v="4470"/>
    <x v="49"/>
    <x v="47"/>
    <x v="5"/>
    <x v="27"/>
  </r>
  <r>
    <s v="ORD-00649"/>
    <x v="280"/>
    <s v="CUS-MYM-013"/>
    <s v="R08"/>
    <s v="ST-MYM-05"/>
    <x v="17"/>
    <s v="P008"/>
    <n v="10"/>
    <n v="0.08"/>
    <n v="26244"/>
    <n v="6"/>
    <x v="16"/>
    <s v="Blender Machine"/>
    <s v="Home Appliance"/>
    <n v="2430"/>
    <x v="184"/>
    <n v="1700"/>
    <n v="17000"/>
    <n v="7300"/>
    <x v="114"/>
    <x v="17"/>
    <x v="2"/>
    <x v="28"/>
  </r>
  <r>
    <s v="ORD-00650"/>
    <x v="82"/>
    <s v="CUS-RAJ-023"/>
    <s v="R04"/>
    <s v="ST-RAJ-02"/>
    <x v="40"/>
    <s v="P042"/>
    <n v="1"/>
    <n v="0.1"/>
    <n v="1966"/>
    <n v="3"/>
    <x v="21"/>
    <s v="Toy Car Set"/>
    <s v="Kids &amp; Toys"/>
    <n v="1820"/>
    <x v="76"/>
    <n v="1000"/>
    <n v="1000"/>
    <n v="820"/>
    <x v="50"/>
    <x v="40"/>
    <x v="1"/>
    <x v="2"/>
  </r>
  <r>
    <s v="ORD-00651"/>
    <x v="208"/>
    <s v="CUS-CTG-010"/>
    <s v="R02"/>
    <s v="ST-CTG-05"/>
    <x v="39"/>
    <s v="P004"/>
    <n v="9"/>
    <n v="0.18"/>
    <n v="39706"/>
    <n v="5"/>
    <x v="4"/>
    <s v="Smart Watch"/>
    <s v="Electronics"/>
    <n v="3870"/>
    <x v="243"/>
    <n v="2630"/>
    <n v="23670"/>
    <n v="11160"/>
    <x v="77"/>
    <x v="39"/>
    <x v="7"/>
    <x v="31"/>
  </r>
  <r>
    <s v="ORD-00652"/>
    <x v="267"/>
    <s v="CUS-CTG-004"/>
    <s v="R02"/>
    <s v="ST-CTG-04"/>
    <x v="37"/>
    <s v="P001"/>
    <n v="7"/>
    <n v="0.1"/>
    <n v="25855"/>
    <n v="6"/>
    <x v="16"/>
    <s v="Bluetooth Speaker"/>
    <s v="Electronics"/>
    <n v="3240"/>
    <x v="244"/>
    <n v="2200"/>
    <n v="15400"/>
    <n v="7280"/>
    <x v="57"/>
    <x v="37"/>
    <x v="7"/>
    <x v="33"/>
  </r>
  <r>
    <s v="ORD-00653"/>
    <x v="160"/>
    <s v="CUS-KHL-022"/>
    <s v="R05"/>
    <s v="ST-KHL-04"/>
    <x v="13"/>
    <s v="P003"/>
    <n v="6"/>
    <n v="0.15"/>
    <n v="18574"/>
    <n v="5"/>
    <x v="5"/>
    <s v="Power Bank"/>
    <s v="Electronics"/>
    <n v="2840"/>
    <x v="165"/>
    <n v="1930"/>
    <n v="11580"/>
    <n v="5460"/>
    <x v="24"/>
    <x v="13"/>
    <x v="6"/>
    <x v="19"/>
  </r>
  <r>
    <s v="ORD-00654"/>
    <x v="139"/>
    <s v="CUS-RAJ-019"/>
    <s v="R04"/>
    <s v="ST-RAJ-05"/>
    <x v="1"/>
    <s v="P025"/>
    <n v="6"/>
    <n v="0.1"/>
    <n v="8165"/>
    <n v="5"/>
    <x v="29"/>
    <s v="Perfume Spray"/>
    <s v="Beauty &amp; Personal Care"/>
    <n v="1260"/>
    <x v="203"/>
    <n v="730"/>
    <n v="4380"/>
    <n v="3180"/>
    <x v="95"/>
    <x v="1"/>
    <x v="1"/>
    <x v="38"/>
  </r>
  <r>
    <s v="ORD-00655"/>
    <x v="25"/>
    <s v="CUS-RAN-008"/>
    <s v="R07"/>
    <s v="ST-RAN-02"/>
    <x v="42"/>
    <s v="P003"/>
    <n v="2"/>
    <n v="0.18"/>
    <n v="6532"/>
    <n v="9"/>
    <x v="14"/>
    <s v="Power Bank"/>
    <s v="Electronics"/>
    <n v="2840"/>
    <x v="54"/>
    <n v="1930"/>
    <n v="3860"/>
    <n v="1820"/>
    <x v="26"/>
    <x v="42"/>
    <x v="0"/>
    <x v="6"/>
  </r>
  <r>
    <s v="ORD-00656"/>
    <x v="204"/>
    <s v="CUS-CTG-019"/>
    <s v="R02"/>
    <s v="ST-CTG-03"/>
    <x v="23"/>
    <s v="P040"/>
    <n v="3"/>
    <n v="0"/>
    <n v="2599"/>
    <n v="4"/>
    <x v="17"/>
    <s v="Sticky Notes"/>
    <s v="Stationery"/>
    <n v="760"/>
    <x v="245"/>
    <n v="380"/>
    <n v="1140"/>
    <n v="1140"/>
    <x v="110"/>
    <x v="23"/>
    <x v="7"/>
    <x v="16"/>
  </r>
  <r>
    <s v="ORD-00657"/>
    <x v="10"/>
    <s v="CUS-KHL-002"/>
    <s v="R05"/>
    <s v="ST-KHL-05"/>
    <x v="29"/>
    <s v="P004"/>
    <n v="8"/>
    <n v="0.12"/>
    <n v="33746"/>
    <n v="3"/>
    <x v="21"/>
    <s v="Smart Watch"/>
    <s v="Electronics"/>
    <n v="3870"/>
    <x v="246"/>
    <n v="2630"/>
    <n v="21040"/>
    <n v="9920"/>
    <x v="128"/>
    <x v="29"/>
    <x v="6"/>
    <x v="30"/>
  </r>
  <r>
    <s v="ORD-00658"/>
    <x v="30"/>
    <s v="CUS-SYL-017"/>
    <s v="R03"/>
    <s v="ST-SYL-05"/>
    <x v="5"/>
    <s v="P004"/>
    <n v="1"/>
    <n v="0.15"/>
    <n v="4141"/>
    <n v="1"/>
    <x v="1"/>
    <s v="Smart Watch"/>
    <s v="Electronics"/>
    <n v="3870"/>
    <x v="80"/>
    <n v="2630"/>
    <n v="2630"/>
    <n v="1240"/>
    <x v="135"/>
    <x v="5"/>
    <x v="3"/>
    <x v="4"/>
  </r>
  <r>
    <s v="ORD-00659"/>
    <x v="269"/>
    <s v="CUS-BAR-005"/>
    <s v="R06"/>
    <s v="ST-BAR-03"/>
    <x v="8"/>
    <s v="P014"/>
    <n v="2"/>
    <n v="0.05"/>
    <n v="1971"/>
    <n v="5"/>
    <x v="19"/>
    <s v="Denim Jeans"/>
    <s v="Fashion"/>
    <n v="880"/>
    <x v="91"/>
    <n v="480"/>
    <n v="960"/>
    <n v="800"/>
    <x v="131"/>
    <x v="8"/>
    <x v="5"/>
    <x v="27"/>
  </r>
  <r>
    <s v="ORD-00660"/>
    <x v="41"/>
    <s v="CUS-DHA-020"/>
    <s v="R01"/>
    <s v="ST-DHA-03"/>
    <x v="14"/>
    <s v="P015"/>
    <n v="2"/>
    <n v="0.12"/>
    <n v="5554"/>
    <n v="1"/>
    <x v="1"/>
    <s v="Leather Belt"/>
    <s v="Fashion"/>
    <n v="2620"/>
    <x v="162"/>
    <n v="1440"/>
    <n v="2880"/>
    <n v="2360"/>
    <x v="53"/>
    <x v="14"/>
    <x v="4"/>
    <x v="5"/>
  </r>
  <r>
    <s v="ORD-00661"/>
    <x v="381"/>
    <s v="CUS-MYM-021"/>
    <s v="R08"/>
    <s v="ST-MYM-02"/>
    <x v="19"/>
    <s v="P006"/>
    <n v="1"/>
    <n v="0.12"/>
    <n v="7776"/>
    <n v="8"/>
    <x v="27"/>
    <s v="Electric Kettle"/>
    <s v="Home Appliance"/>
    <n v="7200"/>
    <x v="0"/>
    <n v="5040"/>
    <n v="5040"/>
    <n v="2160"/>
    <x v="80"/>
    <x v="19"/>
    <x v="2"/>
    <x v="20"/>
  </r>
  <r>
    <s v="ORD-00662"/>
    <x v="382"/>
    <s v="CUS-RAJ-023"/>
    <s v="R04"/>
    <s v="ST-RAJ-01"/>
    <x v="46"/>
    <s v="P040"/>
    <n v="2"/>
    <n v="0.02"/>
    <n v="1642"/>
    <n v="6"/>
    <x v="4"/>
    <s v="Sticky Notes"/>
    <s v="Stationery"/>
    <n v="760"/>
    <x v="234"/>
    <n v="380"/>
    <n v="760"/>
    <n v="760"/>
    <x v="50"/>
    <x v="46"/>
    <x v="1"/>
    <x v="36"/>
  </r>
  <r>
    <s v="ORD-00663"/>
    <x v="79"/>
    <s v="CUS-DHA-018"/>
    <s v="R01"/>
    <s v="ST-DHA-04"/>
    <x v="14"/>
    <s v="P011"/>
    <n v="11"/>
    <n v="0.1"/>
    <n v="21804"/>
    <n v="5"/>
    <x v="29"/>
    <s v="Cotton T-Shirt"/>
    <s v="Fashion"/>
    <n v="1870"/>
    <x v="247"/>
    <n v="1030"/>
    <n v="11330"/>
    <n v="9240"/>
    <x v="45"/>
    <x v="14"/>
    <x v="4"/>
    <x v="35"/>
  </r>
  <r>
    <s v="ORD-00664"/>
    <x v="229"/>
    <s v="CUS-KHL-023"/>
    <s v="R05"/>
    <s v="ST-KHL-02"/>
    <x v="13"/>
    <s v="P040"/>
    <n v="1"/>
    <n v="0.03"/>
    <n v="828"/>
    <n v="4"/>
    <x v="17"/>
    <s v="Sticky Notes"/>
    <s v="Stationery"/>
    <n v="760"/>
    <x v="161"/>
    <n v="380"/>
    <n v="380"/>
    <n v="380"/>
    <x v="69"/>
    <x v="13"/>
    <x v="6"/>
    <x v="14"/>
  </r>
  <r>
    <s v="ORD-00665"/>
    <x v="252"/>
    <s v="CUS-DHA-023"/>
    <s v="R01"/>
    <s v="ST-DHA-03"/>
    <x v="6"/>
    <s v="P026"/>
    <n v="2"/>
    <n v="0.1"/>
    <n v="7441"/>
    <n v="2"/>
    <x v="24"/>
    <s v="Running Shoe"/>
    <s v="Footwear"/>
    <n v="3510"/>
    <x v="66"/>
    <n v="2110"/>
    <n v="4220"/>
    <n v="2800"/>
    <x v="103"/>
    <x v="6"/>
    <x v="4"/>
    <x v="5"/>
  </r>
  <r>
    <s v="ORD-00666"/>
    <x v="331"/>
    <s v="CUS-RAJ-024"/>
    <s v="R04"/>
    <s v="ST-RAJ-02"/>
    <x v="30"/>
    <s v="P025"/>
    <n v="4"/>
    <n v="0.12"/>
    <n v="5443"/>
    <n v="5"/>
    <x v="5"/>
    <s v="Perfume Spray"/>
    <s v="Beauty &amp; Personal Care"/>
    <n v="1260"/>
    <x v="248"/>
    <n v="730"/>
    <n v="2920"/>
    <n v="2120"/>
    <x v="116"/>
    <x v="30"/>
    <x v="1"/>
    <x v="2"/>
  </r>
  <r>
    <s v="ORD-00667"/>
    <x v="275"/>
    <s v="CUS-CTG-022"/>
    <s v="R02"/>
    <s v="ST-CTG-02"/>
    <x v="39"/>
    <s v="P047"/>
    <n v="3"/>
    <n v="0.03"/>
    <n v="39946"/>
    <n v="11"/>
    <x v="31"/>
    <s v="Study Table"/>
    <s v="Furniture"/>
    <n v="11680"/>
    <x v="107"/>
    <n v="8410"/>
    <n v="25230"/>
    <n v="9810"/>
    <x v="74"/>
    <x v="39"/>
    <x v="7"/>
    <x v="22"/>
  </r>
  <r>
    <s v="ORD-00668"/>
    <x v="170"/>
    <s v="CUS-SYL-002"/>
    <s v="R03"/>
    <s v="ST-SYL-01"/>
    <x v="5"/>
    <s v="P025"/>
    <n v="10"/>
    <n v="0.1"/>
    <n v="13482"/>
    <n v="6"/>
    <x v="16"/>
    <s v="Perfume Spray"/>
    <s v="Beauty &amp; Personal Care"/>
    <n v="1260"/>
    <x v="249"/>
    <n v="730"/>
    <n v="7300"/>
    <n v="5300"/>
    <x v="4"/>
    <x v="5"/>
    <x v="3"/>
    <x v="25"/>
  </r>
  <r>
    <s v="ORD-00669"/>
    <x v="14"/>
    <s v="CUS-RAJ-002"/>
    <s v="R04"/>
    <s v="ST-RAJ-01"/>
    <x v="46"/>
    <s v="P010"/>
    <n v="4"/>
    <n v="0.1"/>
    <n v="13435"/>
    <n v="5"/>
    <x v="29"/>
    <s v="Table Fan"/>
    <s v="Home Appliance"/>
    <n v="3110"/>
    <x v="38"/>
    <n v="2180"/>
    <n v="8720"/>
    <n v="3720"/>
    <x v="34"/>
    <x v="46"/>
    <x v="1"/>
    <x v="36"/>
  </r>
  <r>
    <s v="ORD-00670"/>
    <x v="257"/>
    <s v="CUS-CTG-025"/>
    <s v="R02"/>
    <s v="ST-CTG-04"/>
    <x v="37"/>
    <s v="P009"/>
    <n v="2"/>
    <n v="0.08"/>
    <n v="10397"/>
    <n v="6"/>
    <x v="16"/>
    <s v="Steam Iron"/>
    <s v="Home Appliance"/>
    <n v="4560"/>
    <x v="138"/>
    <n v="3190"/>
    <n v="6380"/>
    <n v="2740"/>
    <x v="67"/>
    <x v="37"/>
    <x v="7"/>
    <x v="33"/>
  </r>
  <r>
    <s v="ORD-00671"/>
    <x v="383"/>
    <s v="CUS-CTG-004"/>
    <s v="R02"/>
    <s v="ST-CTG-04"/>
    <x v="37"/>
    <s v="P027"/>
    <n v="1"/>
    <n v="0.12"/>
    <n v="1379"/>
    <n v="3"/>
    <x v="21"/>
    <s v="Formal Shoe"/>
    <s v="Footwear"/>
    <n v="1210"/>
    <x v="96"/>
    <n v="730"/>
    <n v="730"/>
    <n v="480"/>
    <x v="57"/>
    <x v="37"/>
    <x v="7"/>
    <x v="33"/>
  </r>
  <r>
    <s v="ORD-00672"/>
    <x v="384"/>
    <s v="CUS-KHL-023"/>
    <s v="R05"/>
    <s v="ST-KHL-01"/>
    <x v="29"/>
    <s v="P004"/>
    <n v="10"/>
    <n v="0.15"/>
    <n v="42183"/>
    <n v="2"/>
    <x v="10"/>
    <s v="Smart Watch"/>
    <s v="Electronics"/>
    <n v="3870"/>
    <x v="250"/>
    <n v="2630"/>
    <n v="26300"/>
    <n v="12400"/>
    <x v="69"/>
    <x v="29"/>
    <x v="6"/>
    <x v="24"/>
  </r>
  <r>
    <s v="ORD-00673"/>
    <x v="243"/>
    <s v="CUS-KHL-019"/>
    <s v="R05"/>
    <s v="ST-KHL-02"/>
    <x v="45"/>
    <s v="P007"/>
    <n v="2"/>
    <n v="0.08"/>
    <n v="16197"/>
    <n v="2"/>
    <x v="18"/>
    <s v="Rice Cooker"/>
    <s v="Home Appliance"/>
    <n v="7430"/>
    <x v="238"/>
    <n v="5200"/>
    <n v="10400"/>
    <n v="4460"/>
    <x v="70"/>
    <x v="45"/>
    <x v="6"/>
    <x v="14"/>
  </r>
  <r>
    <s v="ORD-00674"/>
    <x v="336"/>
    <s v="CUS-MYM-003"/>
    <s v="R08"/>
    <s v="ST-MYM-05"/>
    <x v="31"/>
    <s v="P017"/>
    <n v="4"/>
    <n v="0.02"/>
    <n v="1598"/>
    <n v="6"/>
    <x v="4"/>
    <s v="Soybean Oil 5L"/>
    <s v="Grocery"/>
    <n v="370"/>
    <x v="182"/>
    <n v="290"/>
    <n v="1160"/>
    <n v="320"/>
    <x v="124"/>
    <x v="31"/>
    <x v="2"/>
    <x v="28"/>
  </r>
  <r>
    <s v="ORD-00675"/>
    <x v="152"/>
    <s v="CUS-CTG-006"/>
    <s v="R02"/>
    <s v="ST-CTG-05"/>
    <x v="37"/>
    <s v="P004"/>
    <n v="5"/>
    <n v="0.08"/>
    <n v="22059"/>
    <n v="6"/>
    <x v="16"/>
    <s v="Smart Watch"/>
    <s v="Electronics"/>
    <n v="3870"/>
    <x v="224"/>
    <n v="2630"/>
    <n v="13150"/>
    <n v="6200"/>
    <x v="96"/>
    <x v="37"/>
    <x v="7"/>
    <x v="31"/>
  </r>
  <r>
    <s v="ORD-00676"/>
    <x v="271"/>
    <s v="CUS-SYL-003"/>
    <s v="R03"/>
    <s v="ST-SYL-05"/>
    <x v="38"/>
    <s v="P040"/>
    <n v="1"/>
    <n v="0"/>
    <n v="813"/>
    <n v="4"/>
    <x v="17"/>
    <s v="Sticky Notes"/>
    <s v="Stationery"/>
    <n v="760"/>
    <x v="161"/>
    <n v="380"/>
    <n v="380"/>
    <n v="380"/>
    <x v="36"/>
    <x v="38"/>
    <x v="3"/>
    <x v="4"/>
  </r>
  <r>
    <s v="ORD-00677"/>
    <x v="385"/>
    <s v="CUS-KHL-012"/>
    <s v="R05"/>
    <s v="ST-KHL-05"/>
    <x v="36"/>
    <s v="P011"/>
    <n v="1"/>
    <n v="0.03"/>
    <n v="2038"/>
    <n v="5"/>
    <x v="19"/>
    <s v="Cotton T-Shirt"/>
    <s v="Fashion"/>
    <n v="1870"/>
    <x v="43"/>
    <n v="1030"/>
    <n v="1030"/>
    <n v="840"/>
    <x v="37"/>
    <x v="36"/>
    <x v="6"/>
    <x v="30"/>
  </r>
  <r>
    <s v="ORD-00678"/>
    <x v="274"/>
    <s v="CUS-KHL-022"/>
    <s v="R05"/>
    <s v="ST-KHL-05"/>
    <x v="24"/>
    <s v="P003"/>
    <n v="4"/>
    <n v="0.18"/>
    <n v="12382"/>
    <n v="2"/>
    <x v="10"/>
    <s v="Power Bank"/>
    <s v="Electronics"/>
    <n v="2840"/>
    <x v="46"/>
    <n v="1930"/>
    <n v="7720"/>
    <n v="3640"/>
    <x v="24"/>
    <x v="24"/>
    <x v="6"/>
    <x v="30"/>
  </r>
  <r>
    <s v="ORD-00679"/>
    <x v="386"/>
    <s v="CUS-BAR-020"/>
    <s v="R06"/>
    <s v="ST-BAR-05"/>
    <x v="12"/>
    <s v="P004"/>
    <n v="3"/>
    <n v="0.1"/>
    <n v="13003"/>
    <n v="6"/>
    <x v="16"/>
    <s v="Smart Watch"/>
    <s v="Electronics"/>
    <n v="3870"/>
    <x v="39"/>
    <n v="2630"/>
    <n v="7890"/>
    <n v="3720"/>
    <x v="12"/>
    <x v="12"/>
    <x v="5"/>
    <x v="7"/>
  </r>
  <r>
    <s v="ORD-00680"/>
    <x v="246"/>
    <s v="CUS-RAJ-005"/>
    <s v="R04"/>
    <s v="ST-RAJ-05"/>
    <x v="40"/>
    <s v="P004"/>
    <n v="2"/>
    <n v="0.18"/>
    <n v="8359"/>
    <n v="4"/>
    <x v="19"/>
    <s v="Smart Watch"/>
    <s v="Electronics"/>
    <n v="3870"/>
    <x v="118"/>
    <n v="2630"/>
    <n v="5260"/>
    <n v="2480"/>
    <x v="2"/>
    <x v="40"/>
    <x v="1"/>
    <x v="38"/>
  </r>
  <r>
    <s v="ORD-00681"/>
    <x v="387"/>
    <s v="CUS-RAN-003"/>
    <s v="R07"/>
    <s v="ST-RAN-05"/>
    <x v="42"/>
    <s v="P005"/>
    <n v="2"/>
    <n v="0.08"/>
    <n v="11247"/>
    <n v="9"/>
    <x v="32"/>
    <s v="USB-C Hub"/>
    <s v="Electronics"/>
    <n v="4890"/>
    <x v="19"/>
    <n v="3330"/>
    <n v="6660"/>
    <n v="3120"/>
    <x v="15"/>
    <x v="42"/>
    <x v="0"/>
    <x v="39"/>
  </r>
  <r>
    <s v="ORD-00682"/>
    <x v="28"/>
    <s v="CUS-SYL-018"/>
    <s v="R03"/>
    <s v="ST-SYL-02"/>
    <x v="34"/>
    <s v="P024"/>
    <n v="10"/>
    <n v="0.05"/>
    <n v="15087"/>
    <n v="2"/>
    <x v="15"/>
    <s v="Toothpaste Twin Pack"/>
    <s v="Beauty &amp; Personal Care"/>
    <n v="1410"/>
    <x v="144"/>
    <n v="820"/>
    <n v="8200"/>
    <n v="5900"/>
    <x v="108"/>
    <x v="34"/>
    <x v="3"/>
    <x v="32"/>
  </r>
  <r>
    <s v="ORD-00683"/>
    <x v="270"/>
    <s v="CUS-BAR-019"/>
    <s v="R06"/>
    <s v="ST-BAR-05"/>
    <x v="12"/>
    <s v="P003"/>
    <n v="2"/>
    <n v="0.15"/>
    <n v="6362"/>
    <n v="2"/>
    <x v="10"/>
    <s v="Power Bank"/>
    <s v="Electronics"/>
    <n v="2840"/>
    <x v="54"/>
    <n v="1930"/>
    <n v="3860"/>
    <n v="1820"/>
    <x v="10"/>
    <x v="12"/>
    <x v="5"/>
    <x v="7"/>
  </r>
  <r>
    <s v="ORD-00684"/>
    <x v="38"/>
    <s v="CUS-RAJ-003"/>
    <s v="R04"/>
    <s v="ST-RAJ-03"/>
    <x v="1"/>
    <s v="P017"/>
    <n v="1"/>
    <n v="0"/>
    <n v="400"/>
    <n v="7"/>
    <x v="28"/>
    <s v="Soybean Oil 5L"/>
    <s v="Grocery"/>
    <n v="370"/>
    <x v="79"/>
    <n v="290"/>
    <n v="290"/>
    <n v="80"/>
    <x v="88"/>
    <x v="1"/>
    <x v="1"/>
    <x v="18"/>
  </r>
  <r>
    <s v="ORD-00685"/>
    <x v="388"/>
    <s v="CUS-BAR-011"/>
    <s v="R06"/>
    <s v="ST-BAR-03"/>
    <x v="8"/>
    <s v="P041"/>
    <n v="2"/>
    <n v="0.03"/>
    <n v="1882"/>
    <n v="2"/>
    <x v="15"/>
    <s v="Building Blocks"/>
    <s v="Kids &amp; Toys"/>
    <n v="840"/>
    <x v="168"/>
    <n v="460"/>
    <n v="920"/>
    <n v="760"/>
    <x v="39"/>
    <x v="8"/>
    <x v="5"/>
    <x v="27"/>
  </r>
  <r>
    <s v="ORD-00686"/>
    <x v="268"/>
    <s v="CUS-RAN-004"/>
    <s v="R07"/>
    <s v="ST-RAN-01"/>
    <x v="27"/>
    <s v="P016"/>
    <n v="3"/>
    <n v="0.05"/>
    <n v="3829"/>
    <n v="9"/>
    <x v="9"/>
    <s v="Premium Rice 5kg"/>
    <s v="Grocery"/>
    <n v="1110"/>
    <x v="89"/>
    <n v="870"/>
    <n v="2610"/>
    <n v="720"/>
    <x v="74"/>
    <x v="27"/>
    <x v="0"/>
    <x v="0"/>
  </r>
  <r>
    <s v="ORD-00687"/>
    <x v="286"/>
    <s v="CUS-CTG-017"/>
    <s v="R02"/>
    <s v="ST-CTG-03"/>
    <x v="37"/>
    <s v="P020"/>
    <n v="3"/>
    <n v="0"/>
    <n v="7319"/>
    <n v="6"/>
    <x v="5"/>
    <s v="Tea Pack 500g"/>
    <s v="Grocery"/>
    <n v="2140"/>
    <x v="198"/>
    <n v="1670"/>
    <n v="5010"/>
    <n v="1410"/>
    <x v="1"/>
    <x v="37"/>
    <x v="7"/>
    <x v="16"/>
  </r>
  <r>
    <s v="ORD-00688"/>
    <x v="338"/>
    <s v="CUS-RAN-006"/>
    <s v="R07"/>
    <s v="ST-RAN-03"/>
    <x v="0"/>
    <s v="P027"/>
    <n v="2"/>
    <n v="0.05"/>
    <n v="2783"/>
    <n v="5"/>
    <x v="19"/>
    <s v="Formal Shoe"/>
    <s v="Footwear"/>
    <n v="1210"/>
    <x v="251"/>
    <n v="730"/>
    <n v="1460"/>
    <n v="960"/>
    <x v="20"/>
    <x v="0"/>
    <x v="0"/>
    <x v="26"/>
  </r>
  <r>
    <s v="ORD-00689"/>
    <x v="334"/>
    <s v="CUS-KHL-001"/>
    <s v="R05"/>
    <s v="ST-KHL-05"/>
    <x v="13"/>
    <s v="P003"/>
    <n v="1"/>
    <n v="0.18"/>
    <n v="3096"/>
    <n v="3"/>
    <x v="20"/>
    <s v="Power Bank"/>
    <s v="Electronics"/>
    <n v="2840"/>
    <x v="53"/>
    <n v="1930"/>
    <n v="1930"/>
    <n v="910"/>
    <x v="112"/>
    <x v="13"/>
    <x v="6"/>
    <x v="30"/>
  </r>
  <r>
    <s v="ORD-00690"/>
    <x v="55"/>
    <s v="CUS-BAR-023"/>
    <s v="R06"/>
    <s v="ST-BAR-02"/>
    <x v="10"/>
    <s v="P022"/>
    <n v="2"/>
    <n v="0.1"/>
    <n v="3718"/>
    <n v="4"/>
    <x v="6"/>
    <s v="Shampoo 375ml"/>
    <s v="Beauty &amp; Personal Care"/>
    <n v="1660"/>
    <x v="110"/>
    <n v="960"/>
    <n v="1920"/>
    <n v="1400"/>
    <x v="14"/>
    <x v="10"/>
    <x v="5"/>
    <x v="11"/>
  </r>
  <r>
    <s v="ORD-00691"/>
    <x v="148"/>
    <s v="CUS-KHL-009"/>
    <s v="R05"/>
    <s v="ST-KHL-04"/>
    <x v="29"/>
    <s v="P046"/>
    <n v="2"/>
    <n v="0.03"/>
    <n v="9548"/>
    <n v="7"/>
    <x v="11"/>
    <s v="Office Chair"/>
    <s v="Furniture"/>
    <n v="4380"/>
    <x v="174"/>
    <n v="3150"/>
    <n v="6300"/>
    <n v="2460"/>
    <x v="99"/>
    <x v="29"/>
    <x v="6"/>
    <x v="19"/>
  </r>
  <r>
    <s v="ORD-00692"/>
    <x v="22"/>
    <s v="CUS-BAR-003"/>
    <s v="R06"/>
    <s v="ST-BAR-01"/>
    <x v="47"/>
    <s v="P031"/>
    <n v="1"/>
    <n v="0.03"/>
    <n v="2957"/>
    <n v="4"/>
    <x v="17"/>
    <s v="Cricket Bat"/>
    <s v="Sports"/>
    <n v="2640"/>
    <x v="12"/>
    <n v="1640"/>
    <n v="1640"/>
    <n v="1000"/>
    <x v="115"/>
    <x v="47"/>
    <x v="5"/>
    <x v="9"/>
  </r>
  <r>
    <s v="ORD-00693"/>
    <x v="291"/>
    <s v="CUS-KHL-018"/>
    <s v="R05"/>
    <s v="ST-KHL-04"/>
    <x v="45"/>
    <s v="P048"/>
    <n v="5"/>
    <n v="0.05"/>
    <n v="28994"/>
    <n v="3"/>
    <x v="25"/>
    <s v="Shoe Rack"/>
    <s v="Furniture"/>
    <n v="5320"/>
    <x v="252"/>
    <n v="3830"/>
    <n v="19150"/>
    <n v="7450"/>
    <x v="32"/>
    <x v="45"/>
    <x v="6"/>
    <x v="19"/>
  </r>
  <r>
    <s v="ORD-00694"/>
    <x v="389"/>
    <s v="CUS-CTG-013"/>
    <s v="R02"/>
    <s v="ST-CTG-01"/>
    <x v="18"/>
    <s v="P004"/>
    <n v="4"/>
    <n v="0.18"/>
    <n v="17647"/>
    <n v="5"/>
    <x v="4"/>
    <s v="Smart Watch"/>
    <s v="Electronics"/>
    <n v="3870"/>
    <x v="68"/>
    <n v="2630"/>
    <n v="10520"/>
    <n v="4960"/>
    <x v="2"/>
    <x v="18"/>
    <x v="7"/>
    <x v="37"/>
  </r>
  <r>
    <s v="ORD-00695"/>
    <x v="390"/>
    <s v="CUS-BAR-008"/>
    <s v="R06"/>
    <s v="ST-BAR-05"/>
    <x v="10"/>
    <s v="P022"/>
    <n v="10"/>
    <n v="0.12"/>
    <n v="18592"/>
    <n v="6"/>
    <x v="28"/>
    <s v="Shampoo 375ml"/>
    <s v="Beauty &amp; Personal Care"/>
    <n v="1660"/>
    <x v="253"/>
    <n v="960"/>
    <n v="9600"/>
    <n v="7000"/>
    <x v="90"/>
    <x v="10"/>
    <x v="5"/>
    <x v="7"/>
  </r>
  <r>
    <s v="ORD-00696"/>
    <x v="295"/>
    <s v="CUS-BAR-005"/>
    <s v="R06"/>
    <s v="ST-BAR-05"/>
    <x v="33"/>
    <s v="P047"/>
    <n v="2"/>
    <n v="7.0000000000000007E-2"/>
    <n v="26163"/>
    <n v="6"/>
    <x v="16"/>
    <s v="Study Table"/>
    <s v="Furniture"/>
    <n v="11680"/>
    <x v="167"/>
    <n v="8410"/>
    <n v="16820"/>
    <n v="6540"/>
    <x v="131"/>
    <x v="33"/>
    <x v="5"/>
    <x v="7"/>
  </r>
  <r>
    <s v="ORD-00697"/>
    <x v="53"/>
    <s v="CUS-CTG-011"/>
    <s v="R02"/>
    <s v="ST-CTG-02"/>
    <x v="18"/>
    <s v="P040"/>
    <n v="2"/>
    <n v="0.05"/>
    <n v="1733"/>
    <n v="5"/>
    <x v="19"/>
    <s v="Sticky Notes"/>
    <s v="Stationery"/>
    <n v="760"/>
    <x v="234"/>
    <n v="380"/>
    <n v="760"/>
    <n v="760"/>
    <x v="61"/>
    <x v="18"/>
    <x v="7"/>
    <x v="22"/>
  </r>
  <r>
    <s v="ORD-00698"/>
    <x v="248"/>
    <s v="CUS-RAN-007"/>
    <s v="R07"/>
    <s v="ST-RAN-03"/>
    <x v="0"/>
    <s v="P016"/>
    <n v="6"/>
    <n v="0.05"/>
    <n v="7659"/>
    <n v="7"/>
    <x v="11"/>
    <s v="Premium Rice 5kg"/>
    <s v="Grocery"/>
    <n v="1110"/>
    <x v="230"/>
    <n v="870"/>
    <n v="5220"/>
    <n v="1440"/>
    <x v="30"/>
    <x v="0"/>
    <x v="0"/>
    <x v="26"/>
  </r>
  <r>
    <s v="ORD-00699"/>
    <x v="47"/>
    <s v="CUS-DHA-012"/>
    <s v="R01"/>
    <s v="ST-DHA-01"/>
    <x v="9"/>
    <s v="P012"/>
    <n v="2"/>
    <n v="0.03"/>
    <n v="3858"/>
    <n v="1"/>
    <x v="7"/>
    <s v="Formal Shirt"/>
    <s v="Fashion"/>
    <n v="1820"/>
    <x v="48"/>
    <n v="1000"/>
    <n v="2000"/>
    <n v="1640"/>
    <x v="140"/>
    <x v="9"/>
    <x v="4"/>
    <x v="29"/>
  </r>
  <r>
    <s v="ORD-00700"/>
    <x v="223"/>
    <s v="CUS-RAN-012"/>
    <s v="R07"/>
    <s v="ST-RAN-01"/>
    <x v="7"/>
    <s v="P011"/>
    <n v="1"/>
    <n v="0.12"/>
    <n v="2150"/>
    <n v="8"/>
    <x v="27"/>
    <s v="Cotton T-Shirt"/>
    <s v="Fashion"/>
    <n v="1870"/>
    <x v="43"/>
    <n v="1030"/>
    <n v="1030"/>
    <n v="840"/>
    <x v="87"/>
    <x v="7"/>
    <x v="0"/>
    <x v="0"/>
  </r>
  <r>
    <s v="ORD-00701"/>
    <x v="173"/>
    <s v="CUS-SYL-014"/>
    <s v="R03"/>
    <s v="ST-SYL-01"/>
    <x v="32"/>
    <s v="P001"/>
    <n v="1"/>
    <n v="0.15"/>
    <n v="3467"/>
    <n v="2"/>
    <x v="10"/>
    <s v="Bluetooth Speaker"/>
    <s v="Electronics"/>
    <n v="3240"/>
    <x v="40"/>
    <n v="2200"/>
    <n v="2200"/>
    <n v="1040"/>
    <x v="71"/>
    <x v="32"/>
    <x v="3"/>
    <x v="25"/>
  </r>
  <r>
    <s v="ORD-00702"/>
    <x v="203"/>
    <s v="CUS-SYL-018"/>
    <s v="R03"/>
    <s v="ST-SYL-03"/>
    <x v="34"/>
    <s v="P050"/>
    <n v="2"/>
    <n v="0.1"/>
    <n v="12562"/>
    <n v="6"/>
    <x v="16"/>
    <s v="Bedside Table"/>
    <s v="Furniture"/>
    <n v="5870"/>
    <x v="59"/>
    <n v="4230"/>
    <n v="8460"/>
    <n v="3280"/>
    <x v="108"/>
    <x v="34"/>
    <x v="3"/>
    <x v="23"/>
  </r>
  <r>
    <s v="ORD-00703"/>
    <x v="178"/>
    <s v="CUS-DHA-012"/>
    <s v="R01"/>
    <s v="ST-DHA-02"/>
    <x v="44"/>
    <s v="P004"/>
    <n v="1"/>
    <n v="0.15"/>
    <n v="4102"/>
    <n v="2"/>
    <x v="10"/>
    <s v="Smart Watch"/>
    <s v="Electronics"/>
    <n v="3870"/>
    <x v="80"/>
    <n v="2630"/>
    <n v="2630"/>
    <n v="1240"/>
    <x v="140"/>
    <x v="44"/>
    <x v="4"/>
    <x v="8"/>
  </r>
  <r>
    <s v="ORD-00704"/>
    <x v="311"/>
    <s v="CUS-SYL-022"/>
    <s v="R03"/>
    <s v="ST-SYL-02"/>
    <x v="32"/>
    <s v="P048"/>
    <n v="1"/>
    <n v="0.1"/>
    <n v="5692"/>
    <n v="1"/>
    <x v="13"/>
    <s v="Shoe Rack"/>
    <s v="Furniture"/>
    <n v="5320"/>
    <x v="133"/>
    <n v="3830"/>
    <n v="3830"/>
    <n v="1490"/>
    <x v="21"/>
    <x v="32"/>
    <x v="3"/>
    <x v="32"/>
  </r>
  <r>
    <s v="ORD-00705"/>
    <x v="358"/>
    <s v="CUS-MYM-022"/>
    <s v="R08"/>
    <s v="ST-MYM-02"/>
    <x v="3"/>
    <s v="P033"/>
    <n v="3"/>
    <n v="0.1"/>
    <n v="10044"/>
    <n v="7"/>
    <x v="12"/>
    <s v="Badminton Racket"/>
    <s v="Sports"/>
    <n v="3100"/>
    <x v="254"/>
    <n v="1920"/>
    <n v="5760"/>
    <n v="3540"/>
    <x v="25"/>
    <x v="3"/>
    <x v="2"/>
    <x v="20"/>
  </r>
  <r>
    <s v="ORD-00706"/>
    <x v="233"/>
    <s v="CUS-DHA-005"/>
    <s v="R01"/>
    <s v="ST-DHA-02"/>
    <x v="14"/>
    <s v="P015"/>
    <n v="1"/>
    <n v="7.0000000000000007E-2"/>
    <n v="2777"/>
    <n v="5"/>
    <x v="29"/>
    <s v="Leather Belt"/>
    <s v="Fashion"/>
    <n v="2620"/>
    <x v="255"/>
    <n v="1440"/>
    <n v="1440"/>
    <n v="1180"/>
    <x v="43"/>
    <x v="14"/>
    <x v="4"/>
    <x v="8"/>
  </r>
  <r>
    <s v="ORD-00707"/>
    <x v="286"/>
    <s v="CUS-RAN-020"/>
    <s v="R07"/>
    <s v="ST-RAN-01"/>
    <x v="4"/>
    <s v="P013"/>
    <n v="2"/>
    <n v="0.1"/>
    <n v="4577"/>
    <n v="6"/>
    <x v="16"/>
    <s v="Women Kurti"/>
    <s v="Fashion"/>
    <n v="1990"/>
    <x v="240"/>
    <n v="1090"/>
    <n v="2180"/>
    <n v="1800"/>
    <x v="35"/>
    <x v="4"/>
    <x v="0"/>
    <x v="0"/>
  </r>
  <r>
    <s v="ORD-00708"/>
    <x v="391"/>
    <s v="CUS-SYL-008"/>
    <s v="R03"/>
    <s v="ST-SYL-03"/>
    <x v="34"/>
    <s v="P041"/>
    <n v="3"/>
    <n v="0.1"/>
    <n v="2696"/>
    <n v="4"/>
    <x v="6"/>
    <s v="Building Blocks"/>
    <s v="Kids &amp; Toys"/>
    <n v="840"/>
    <x v="17"/>
    <n v="460"/>
    <n v="1380"/>
    <n v="1140"/>
    <x v="133"/>
    <x v="34"/>
    <x v="3"/>
    <x v="23"/>
  </r>
  <r>
    <s v="ORD-00709"/>
    <x v="167"/>
    <s v="CUS-RAJ-016"/>
    <s v="R04"/>
    <s v="ST-RAJ-01"/>
    <x v="30"/>
    <s v="P031"/>
    <n v="1"/>
    <n v="0.12"/>
    <n v="2851"/>
    <n v="3"/>
    <x v="21"/>
    <s v="Cricket Bat"/>
    <s v="Sports"/>
    <n v="2640"/>
    <x v="12"/>
    <n v="1640"/>
    <n v="1640"/>
    <n v="1000"/>
    <x v="30"/>
    <x v="30"/>
    <x v="1"/>
    <x v="36"/>
  </r>
  <r>
    <s v="ORD-00710"/>
    <x v="177"/>
    <s v="CUS-CTG-005"/>
    <s v="R02"/>
    <s v="ST-CTG-04"/>
    <x v="41"/>
    <s v="P005"/>
    <n v="6"/>
    <n v="0.15"/>
    <n v="33448"/>
    <n v="4"/>
    <x v="3"/>
    <s v="USB-C Hub"/>
    <s v="Electronics"/>
    <n v="4890"/>
    <x v="256"/>
    <n v="3330"/>
    <n v="19980"/>
    <n v="9360"/>
    <x v="46"/>
    <x v="41"/>
    <x v="7"/>
    <x v="33"/>
  </r>
  <r>
    <s v="ORD-00711"/>
    <x v="204"/>
    <s v="CUS-DHA-020"/>
    <s v="R01"/>
    <s v="ST-DHA-02"/>
    <x v="44"/>
    <s v="P041"/>
    <n v="2"/>
    <n v="7.0000000000000007E-2"/>
    <n v="1781"/>
    <n v="1"/>
    <x v="13"/>
    <s v="Building Blocks"/>
    <s v="Kids &amp; Toys"/>
    <n v="840"/>
    <x v="168"/>
    <n v="460"/>
    <n v="920"/>
    <n v="760"/>
    <x v="53"/>
    <x v="44"/>
    <x v="4"/>
    <x v="8"/>
  </r>
  <r>
    <s v="ORD-00712"/>
    <x v="275"/>
    <s v="CUS-RAJ-011"/>
    <s v="R04"/>
    <s v="ST-RAJ-04"/>
    <x v="2"/>
    <s v="P002"/>
    <n v="4"/>
    <n v="0.08"/>
    <n v="14429"/>
    <n v="1"/>
    <x v="13"/>
    <s v="Wireless Mouse"/>
    <s v="Electronics"/>
    <n v="3340"/>
    <x v="83"/>
    <n v="2270"/>
    <n v="9080"/>
    <n v="4280"/>
    <x v="43"/>
    <x v="2"/>
    <x v="1"/>
    <x v="1"/>
  </r>
  <r>
    <s v="ORD-00713"/>
    <x v="188"/>
    <s v="CUS-KHL-012"/>
    <s v="R05"/>
    <s v="ST-KHL-03"/>
    <x v="16"/>
    <s v="P030"/>
    <n v="2"/>
    <n v="0.03"/>
    <n v="4077"/>
    <n v="3"/>
    <x v="10"/>
    <s v="Casual Loafer"/>
    <s v="Footwear"/>
    <n v="1870"/>
    <x v="117"/>
    <n v="1120"/>
    <n v="2240"/>
    <n v="1500"/>
    <x v="37"/>
    <x v="16"/>
    <x v="6"/>
    <x v="17"/>
  </r>
  <r>
    <s v="ORD-00714"/>
    <x v="359"/>
    <s v="CUS-BAR-007"/>
    <s v="R06"/>
    <s v="ST-BAR-03"/>
    <x v="22"/>
    <s v="P006"/>
    <n v="3"/>
    <n v="0.15"/>
    <n v="24192"/>
    <n v="7"/>
    <x v="23"/>
    <s v="Electric Kettle"/>
    <s v="Home Appliance"/>
    <n v="7200"/>
    <x v="42"/>
    <n v="5040"/>
    <n v="15120"/>
    <n v="6480"/>
    <x v="113"/>
    <x v="22"/>
    <x v="5"/>
    <x v="27"/>
  </r>
  <r>
    <s v="ORD-00715"/>
    <x v="392"/>
    <s v="CUS-BAR-011"/>
    <s v="R06"/>
    <s v="ST-BAR-03"/>
    <x v="47"/>
    <s v="P002"/>
    <n v="4"/>
    <n v="0.1"/>
    <n v="14963"/>
    <n v="4"/>
    <x v="6"/>
    <s v="Wireless Mouse"/>
    <s v="Electronics"/>
    <n v="3340"/>
    <x v="83"/>
    <n v="2270"/>
    <n v="9080"/>
    <n v="4280"/>
    <x v="39"/>
    <x v="47"/>
    <x v="5"/>
    <x v="27"/>
  </r>
  <r>
    <s v="ORD-00716"/>
    <x v="393"/>
    <s v="CUS-BAR-024"/>
    <s v="R06"/>
    <s v="ST-BAR-05"/>
    <x v="12"/>
    <s v="P022"/>
    <n v="3"/>
    <n v="0.05"/>
    <n v="5578"/>
    <n v="8"/>
    <x v="30"/>
    <s v="Shampoo 375ml"/>
    <s v="Beauty &amp; Personal Care"/>
    <n v="1660"/>
    <x v="71"/>
    <n v="960"/>
    <n v="2880"/>
    <n v="2100"/>
    <x v="84"/>
    <x v="12"/>
    <x v="5"/>
    <x v="7"/>
  </r>
  <r>
    <s v="ORD-00717"/>
    <x v="183"/>
    <s v="CUS-RAN-003"/>
    <s v="R07"/>
    <s v="ST-RAN-01"/>
    <x v="27"/>
    <s v="P024"/>
    <n v="1"/>
    <n v="0.05"/>
    <n v="1621"/>
    <n v="7"/>
    <x v="11"/>
    <s v="Toothpaste Twin Pack"/>
    <s v="Beauty &amp; Personal Care"/>
    <n v="1410"/>
    <x v="257"/>
    <n v="820"/>
    <n v="820"/>
    <n v="590"/>
    <x v="15"/>
    <x v="27"/>
    <x v="0"/>
    <x v="0"/>
  </r>
  <r>
    <s v="ORD-00718"/>
    <x v="42"/>
    <s v="CUS-CTG-003"/>
    <s v="R02"/>
    <s v="ST-CTG-05"/>
    <x v="18"/>
    <s v="P008"/>
    <n v="10"/>
    <n v="0.1"/>
    <n v="27702"/>
    <n v="9"/>
    <x v="32"/>
    <s v="Blender Machine"/>
    <s v="Home Appliance"/>
    <n v="2430"/>
    <x v="184"/>
    <n v="1700"/>
    <n v="17000"/>
    <n v="7300"/>
    <x v="27"/>
    <x v="18"/>
    <x v="7"/>
    <x v="31"/>
  </r>
  <r>
    <s v="ORD-00719"/>
    <x v="394"/>
    <s v="CUS-SYL-002"/>
    <s v="R03"/>
    <s v="ST-SYL-02"/>
    <x v="20"/>
    <s v="P011"/>
    <n v="6"/>
    <n v="0.12"/>
    <n v="12005"/>
    <n v="7"/>
    <x v="12"/>
    <s v="Cotton T-Shirt"/>
    <s v="Fashion"/>
    <n v="1870"/>
    <x v="228"/>
    <n v="1030"/>
    <n v="6180"/>
    <n v="5040"/>
    <x v="4"/>
    <x v="20"/>
    <x v="3"/>
    <x v="32"/>
  </r>
  <r>
    <s v="ORD-00720"/>
    <x v="6"/>
    <s v="CUS-MYM-021"/>
    <s v="R08"/>
    <s v="ST-MYM-01"/>
    <x v="19"/>
    <s v="P002"/>
    <n v="5"/>
    <n v="0.08"/>
    <n v="18036"/>
    <n v="3"/>
    <x v="25"/>
    <s v="Wireless Mouse"/>
    <s v="Electronics"/>
    <n v="3340"/>
    <x v="164"/>
    <n v="2270"/>
    <n v="11350"/>
    <n v="5350"/>
    <x v="80"/>
    <x v="19"/>
    <x v="2"/>
    <x v="3"/>
  </r>
  <r>
    <s v="ORD-00721"/>
    <x v="164"/>
    <s v="CUS-SYL-020"/>
    <s v="R03"/>
    <s v="ST-SYL-03"/>
    <x v="25"/>
    <s v="P048"/>
    <n v="1"/>
    <n v="0.12"/>
    <n v="5692"/>
    <n v="9"/>
    <x v="32"/>
    <s v="Shoe Rack"/>
    <s v="Furniture"/>
    <n v="5320"/>
    <x v="133"/>
    <n v="3830"/>
    <n v="3830"/>
    <n v="1490"/>
    <x v="33"/>
    <x v="25"/>
    <x v="3"/>
    <x v="23"/>
  </r>
  <r>
    <s v="ORD-00722"/>
    <x v="395"/>
    <s v="CUS-RAJ-024"/>
    <s v="R04"/>
    <s v="ST-RAJ-04"/>
    <x v="2"/>
    <s v="P028"/>
    <n v="8"/>
    <n v="0.05"/>
    <n v="27821"/>
    <n v="6"/>
    <x v="4"/>
    <s v="Ladies Sandal"/>
    <s v="Footwear"/>
    <n v="3220"/>
    <x v="258"/>
    <n v="1930"/>
    <n v="15440"/>
    <n v="10320"/>
    <x v="116"/>
    <x v="2"/>
    <x v="1"/>
    <x v="1"/>
  </r>
  <r>
    <s v="ORD-00723"/>
    <x v="396"/>
    <s v="CUS-MYM-025"/>
    <s v="R08"/>
    <s v="ST-MYM-05"/>
    <x v="19"/>
    <s v="P019"/>
    <n v="2"/>
    <n v="0.03"/>
    <n v="950"/>
    <n v="4"/>
    <x v="17"/>
    <s v="Flour 2kg"/>
    <s v="Grocery"/>
    <n v="440"/>
    <x v="192"/>
    <n v="340"/>
    <n v="680"/>
    <n v="200"/>
    <x v="23"/>
    <x v="19"/>
    <x v="2"/>
    <x v="28"/>
  </r>
  <r>
    <s v="ORD-00724"/>
    <x v="147"/>
    <s v="CUS-RAJ-019"/>
    <s v="R04"/>
    <s v="ST-RAJ-01"/>
    <x v="40"/>
    <s v="P012"/>
    <n v="2"/>
    <n v="0.05"/>
    <n v="3931"/>
    <n v="4"/>
    <x v="20"/>
    <s v="Formal Shirt"/>
    <s v="Fashion"/>
    <n v="1820"/>
    <x v="48"/>
    <n v="1000"/>
    <n v="2000"/>
    <n v="1640"/>
    <x v="95"/>
    <x v="40"/>
    <x v="1"/>
    <x v="36"/>
  </r>
  <r>
    <s v="ORD-00725"/>
    <x v="90"/>
    <s v="CUS-KHL-023"/>
    <s v="R05"/>
    <s v="ST-KHL-03"/>
    <x v="29"/>
    <s v="P003"/>
    <n v="1"/>
    <n v="0.1"/>
    <n v="3096"/>
    <n v="2"/>
    <x v="24"/>
    <s v="Power Bank"/>
    <s v="Electronics"/>
    <n v="2840"/>
    <x v="53"/>
    <n v="1930"/>
    <n v="1930"/>
    <n v="910"/>
    <x v="69"/>
    <x v="29"/>
    <x v="6"/>
    <x v="17"/>
  </r>
  <r>
    <s v="ORD-00726"/>
    <x v="397"/>
    <s v="CUS-KHL-005"/>
    <s v="R05"/>
    <s v="ST-KHL-03"/>
    <x v="45"/>
    <s v="P025"/>
    <n v="10"/>
    <n v="0.05"/>
    <n v="13734"/>
    <n v="5"/>
    <x v="19"/>
    <s v="Perfume Spray"/>
    <s v="Beauty &amp; Personal Care"/>
    <n v="1260"/>
    <x v="249"/>
    <n v="730"/>
    <n v="7300"/>
    <n v="5300"/>
    <x v="16"/>
    <x v="45"/>
    <x v="6"/>
    <x v="17"/>
  </r>
  <r>
    <s v="ORD-00727"/>
    <x v="234"/>
    <s v="CUS-CTG-001"/>
    <s v="R02"/>
    <s v="ST-CTG-03"/>
    <x v="37"/>
    <s v="P022"/>
    <n v="2"/>
    <n v="0.12"/>
    <n v="3785"/>
    <n v="5"/>
    <x v="5"/>
    <s v="Shampoo 375ml"/>
    <s v="Beauty &amp; Personal Care"/>
    <n v="1660"/>
    <x v="110"/>
    <n v="960"/>
    <n v="1920"/>
    <n v="1400"/>
    <x v="107"/>
    <x v="37"/>
    <x v="7"/>
    <x v="16"/>
  </r>
  <r>
    <s v="ORD-00728"/>
    <x v="142"/>
    <s v="CUS-KHL-011"/>
    <s v="R05"/>
    <s v="ST-KHL-01"/>
    <x v="13"/>
    <s v="P037"/>
    <n v="2"/>
    <n v="0.02"/>
    <n v="741"/>
    <n v="4"/>
    <x v="17"/>
    <s v="Ball Pen Box"/>
    <s v="Stationery"/>
    <n v="340"/>
    <x v="159"/>
    <n v="170"/>
    <n v="340"/>
    <n v="340"/>
    <x v="105"/>
    <x v="13"/>
    <x v="6"/>
    <x v="24"/>
  </r>
  <r>
    <s v="ORD-00729"/>
    <x v="398"/>
    <s v="CUS-KHL-001"/>
    <s v="R05"/>
    <s v="ST-KHL-05"/>
    <x v="13"/>
    <s v="P049"/>
    <n v="6"/>
    <n v="0.1"/>
    <n v="27664"/>
    <n v="6"/>
    <x v="16"/>
    <s v="Bookshelf"/>
    <s v="Furniture"/>
    <n v="4230"/>
    <x v="259"/>
    <n v="3050"/>
    <n v="18300"/>
    <n v="7080"/>
    <x v="112"/>
    <x v="13"/>
    <x v="6"/>
    <x v="30"/>
  </r>
  <r>
    <s v="ORD-00730"/>
    <x v="30"/>
    <s v="CUS-RAJ-015"/>
    <s v="R04"/>
    <s v="ST-RAJ-02"/>
    <x v="26"/>
    <s v="P005"/>
    <n v="1"/>
    <n v="0.1"/>
    <n v="5281"/>
    <n v="4"/>
    <x v="6"/>
    <s v="USB-C Hub"/>
    <s v="Electronics"/>
    <n v="4890"/>
    <x v="100"/>
    <n v="3330"/>
    <n v="3330"/>
    <n v="1560"/>
    <x v="93"/>
    <x v="26"/>
    <x v="1"/>
    <x v="2"/>
  </r>
  <r>
    <s v="ORD-00731"/>
    <x v="167"/>
    <s v="CUS-RAN-012"/>
    <s v="R07"/>
    <s v="ST-RAN-02"/>
    <x v="4"/>
    <s v="P002"/>
    <n v="2"/>
    <n v="0.1"/>
    <n v="7682"/>
    <n v="7"/>
    <x v="12"/>
    <s v="Wireless Mouse"/>
    <s v="Electronics"/>
    <n v="3340"/>
    <x v="15"/>
    <n v="2270"/>
    <n v="4540"/>
    <n v="2140"/>
    <x v="87"/>
    <x v="4"/>
    <x v="0"/>
    <x v="6"/>
  </r>
  <r>
    <s v="ORD-00732"/>
    <x v="13"/>
    <s v="CUS-SYL-021"/>
    <s v="R03"/>
    <s v="ST-SYL-03"/>
    <x v="34"/>
    <s v="P007"/>
    <n v="5"/>
    <n v="0.18"/>
    <n v="39750"/>
    <n v="7"/>
    <x v="23"/>
    <s v="Rice Cooker"/>
    <s v="Home Appliance"/>
    <n v="7430"/>
    <x v="154"/>
    <n v="5200"/>
    <n v="26000"/>
    <n v="11150"/>
    <x v="10"/>
    <x v="34"/>
    <x v="3"/>
    <x v="23"/>
  </r>
  <r>
    <s v="ORD-00733"/>
    <x v="399"/>
    <s v="CUS-RAJ-003"/>
    <s v="R04"/>
    <s v="ST-RAJ-02"/>
    <x v="1"/>
    <s v="P011"/>
    <n v="7"/>
    <n v="0.03"/>
    <n v="14137"/>
    <n v="4"/>
    <x v="17"/>
    <s v="Cotton T-Shirt"/>
    <s v="Fashion"/>
    <n v="1870"/>
    <x v="260"/>
    <n v="1030"/>
    <n v="7210"/>
    <n v="5880"/>
    <x v="88"/>
    <x v="1"/>
    <x v="1"/>
    <x v="2"/>
  </r>
  <r>
    <s v="ORD-00734"/>
    <x v="400"/>
    <s v="CUS-DHA-020"/>
    <s v="R01"/>
    <s v="ST-DHA-01"/>
    <x v="6"/>
    <s v="P009"/>
    <n v="7"/>
    <n v="0.08"/>
    <n v="33835"/>
    <n v="3"/>
    <x v="25"/>
    <s v="Steam Iron"/>
    <s v="Home Appliance"/>
    <n v="4560"/>
    <x v="236"/>
    <n v="3190"/>
    <n v="22330"/>
    <n v="9590"/>
    <x v="53"/>
    <x v="6"/>
    <x v="4"/>
    <x v="29"/>
  </r>
  <r>
    <s v="ORD-00735"/>
    <x v="392"/>
    <s v="CUS-SYL-008"/>
    <s v="R03"/>
    <s v="ST-SYL-01"/>
    <x v="38"/>
    <s v="P003"/>
    <n v="4"/>
    <n v="0.08"/>
    <n v="12155"/>
    <n v="4"/>
    <x v="6"/>
    <s v="Power Bank"/>
    <s v="Electronics"/>
    <n v="2840"/>
    <x v="46"/>
    <n v="1930"/>
    <n v="7720"/>
    <n v="3640"/>
    <x v="133"/>
    <x v="38"/>
    <x v="3"/>
    <x v="25"/>
  </r>
  <r>
    <s v="ORD-00736"/>
    <x v="276"/>
    <s v="CUS-BAR-023"/>
    <s v="R06"/>
    <s v="ST-BAR-01"/>
    <x v="8"/>
    <s v="P003"/>
    <n v="6"/>
    <n v="0.12"/>
    <n v="19085"/>
    <n v="5"/>
    <x v="5"/>
    <s v="Power Bank"/>
    <s v="Electronics"/>
    <n v="2840"/>
    <x v="165"/>
    <n v="1930"/>
    <n v="11580"/>
    <n v="5460"/>
    <x v="14"/>
    <x v="8"/>
    <x v="5"/>
    <x v="9"/>
  </r>
  <r>
    <s v="ORD-00737"/>
    <x v="401"/>
    <s v="CUS-MYM-005"/>
    <s v="R08"/>
    <s v="ST-MYM-02"/>
    <x v="17"/>
    <s v="P018"/>
    <n v="3"/>
    <n v="0"/>
    <n v="5540"/>
    <n v="5"/>
    <x v="3"/>
    <s v="Lentil 1kg"/>
    <s v="Grocery"/>
    <n v="1710"/>
    <x v="261"/>
    <n v="1330"/>
    <n v="3990"/>
    <n v="1140"/>
    <x v="3"/>
    <x v="17"/>
    <x v="2"/>
    <x v="20"/>
  </r>
  <r>
    <s v="ORD-00738"/>
    <x v="90"/>
    <s v="CUS-KHL-004"/>
    <s v="R05"/>
    <s v="ST-KHL-05"/>
    <x v="24"/>
    <s v="P003"/>
    <n v="1"/>
    <n v="0.15"/>
    <n v="3096"/>
    <n v="3"/>
    <x v="17"/>
    <s v="Power Bank"/>
    <s v="Electronics"/>
    <n v="2840"/>
    <x v="53"/>
    <n v="1930"/>
    <n v="1930"/>
    <n v="910"/>
    <x v="136"/>
    <x v="24"/>
    <x v="6"/>
    <x v="30"/>
  </r>
  <r>
    <s v="ORD-00739"/>
    <x v="402"/>
    <s v="CUS-RAN-005"/>
    <s v="R07"/>
    <s v="ST-RAN-03"/>
    <x v="0"/>
    <s v="P006"/>
    <n v="4"/>
    <n v="0.08"/>
    <n v="33120"/>
    <n v="2"/>
    <x v="18"/>
    <s v="Electric Kettle"/>
    <s v="Home Appliance"/>
    <n v="7200"/>
    <x v="113"/>
    <n v="5040"/>
    <n v="20160"/>
    <n v="8640"/>
    <x v="46"/>
    <x v="0"/>
    <x v="0"/>
    <x v="26"/>
  </r>
  <r>
    <s v="ORD-00740"/>
    <x v="403"/>
    <s v="CUS-RAJ-004"/>
    <s v="R04"/>
    <s v="ST-RAJ-03"/>
    <x v="26"/>
    <s v="P002"/>
    <n v="1"/>
    <n v="0.08"/>
    <n v="3607"/>
    <n v="4"/>
    <x v="6"/>
    <s v="Wireless Mouse"/>
    <s v="Electronics"/>
    <n v="3340"/>
    <x v="55"/>
    <n v="2270"/>
    <n v="2270"/>
    <n v="1070"/>
    <x v="1"/>
    <x v="26"/>
    <x v="1"/>
    <x v="18"/>
  </r>
  <r>
    <s v="ORD-00741"/>
    <x v="167"/>
    <s v="CUS-SYL-006"/>
    <s v="R03"/>
    <s v="ST-SYL-04"/>
    <x v="5"/>
    <s v="P008"/>
    <n v="3"/>
    <n v="0.1"/>
    <n v="7800"/>
    <n v="7"/>
    <x v="12"/>
    <s v="Blender Machine"/>
    <s v="Home Appliance"/>
    <n v="2430"/>
    <x v="49"/>
    <n v="1700"/>
    <n v="5100"/>
    <n v="2190"/>
    <x v="47"/>
    <x v="5"/>
    <x v="3"/>
    <x v="21"/>
  </r>
  <r>
    <s v="ORD-00742"/>
    <x v="234"/>
    <s v="CUS-KHL-012"/>
    <s v="R05"/>
    <s v="ST-KHL-01"/>
    <x v="16"/>
    <s v="P044"/>
    <n v="6"/>
    <n v="0.03"/>
    <n v="14715"/>
    <n v="1"/>
    <x v="7"/>
    <s v="Color Pencil Set"/>
    <s v="Kids &amp; Toys"/>
    <n v="2250"/>
    <x v="262"/>
    <n v="1240"/>
    <n v="7440"/>
    <n v="6060"/>
    <x v="37"/>
    <x v="16"/>
    <x v="6"/>
    <x v="24"/>
  </r>
  <r>
    <s v="ORD-00743"/>
    <x v="152"/>
    <s v="CUS-DHA-005"/>
    <s v="R01"/>
    <s v="ST-DHA-02"/>
    <x v="14"/>
    <s v="P003"/>
    <n v="5"/>
    <n v="0.08"/>
    <n v="15052"/>
    <n v="3"/>
    <x v="25"/>
    <s v="Power Bank"/>
    <s v="Electronics"/>
    <n v="2840"/>
    <x v="57"/>
    <n v="1930"/>
    <n v="9650"/>
    <n v="4550"/>
    <x v="43"/>
    <x v="14"/>
    <x v="4"/>
    <x v="8"/>
  </r>
  <r>
    <s v="ORD-00744"/>
    <x v="122"/>
    <s v="CUS-KHL-005"/>
    <s v="R05"/>
    <s v="ST-KHL-01"/>
    <x v="16"/>
    <s v="P050"/>
    <n v="4"/>
    <n v="7.0000000000000007E-2"/>
    <n v="25593"/>
    <n v="6"/>
    <x v="16"/>
    <s v="Bedside Table"/>
    <s v="Furniture"/>
    <n v="5870"/>
    <x v="142"/>
    <n v="4230"/>
    <n v="16920"/>
    <n v="6560"/>
    <x v="16"/>
    <x v="16"/>
    <x v="6"/>
    <x v="24"/>
  </r>
  <r>
    <s v="ORD-00745"/>
    <x v="189"/>
    <s v="CUS-BAR-016"/>
    <s v="R06"/>
    <s v="ST-BAR-04"/>
    <x v="22"/>
    <s v="P028"/>
    <n v="3"/>
    <n v="7.0000000000000007E-2"/>
    <n v="10819"/>
    <n v="8"/>
    <x v="30"/>
    <s v="Ladies Sandal"/>
    <s v="Footwear"/>
    <n v="3220"/>
    <x v="111"/>
    <n v="1930"/>
    <n v="5790"/>
    <n v="3870"/>
    <x v="38"/>
    <x v="22"/>
    <x v="5"/>
    <x v="12"/>
  </r>
  <r>
    <s v="ORD-00746"/>
    <x v="404"/>
    <s v="CUS-RAJ-013"/>
    <s v="R04"/>
    <s v="ST-RAJ-04"/>
    <x v="40"/>
    <s v="P014"/>
    <n v="3"/>
    <n v="0.05"/>
    <n v="2851"/>
    <n v="7"/>
    <x v="11"/>
    <s v="Denim Jeans"/>
    <s v="Fashion"/>
    <n v="880"/>
    <x v="12"/>
    <n v="480"/>
    <n v="1440"/>
    <n v="1200"/>
    <x v="130"/>
    <x v="40"/>
    <x v="1"/>
    <x v="1"/>
  </r>
  <r>
    <s v="ORD-00747"/>
    <x v="8"/>
    <s v="CUS-RAN-003"/>
    <s v="R07"/>
    <s v="ST-RAN-05"/>
    <x v="0"/>
    <s v="P011"/>
    <n v="4"/>
    <n v="0.05"/>
    <n v="8602"/>
    <n v="5"/>
    <x v="19"/>
    <s v="Cotton T-Shirt"/>
    <s v="Fashion"/>
    <n v="1870"/>
    <x v="35"/>
    <n v="1030"/>
    <n v="4120"/>
    <n v="3360"/>
    <x v="15"/>
    <x v="0"/>
    <x v="0"/>
    <x v="39"/>
  </r>
  <r>
    <s v="ORD-00748"/>
    <x v="400"/>
    <s v="CUS-DHA-012"/>
    <s v="R01"/>
    <s v="ST-DHA-05"/>
    <x v="6"/>
    <s v="P047"/>
    <n v="2"/>
    <n v="7.0000000000000007E-2"/>
    <n v="24762"/>
    <n v="5"/>
    <x v="29"/>
    <s v="Study Table"/>
    <s v="Furniture"/>
    <n v="11680"/>
    <x v="167"/>
    <n v="8410"/>
    <n v="16820"/>
    <n v="6540"/>
    <x v="140"/>
    <x v="6"/>
    <x v="4"/>
    <x v="15"/>
  </r>
  <r>
    <s v="ORD-00749"/>
    <x v="330"/>
    <s v="CUS-SYL-010"/>
    <s v="R03"/>
    <s v="ST-SYL-04"/>
    <x v="20"/>
    <s v="P039"/>
    <n v="1"/>
    <n v="0"/>
    <n v="1113"/>
    <n v="3"/>
    <x v="10"/>
    <s v="Marker Set"/>
    <s v="Stationery"/>
    <n v="1040"/>
    <x v="37"/>
    <n v="520"/>
    <n v="520"/>
    <n v="520"/>
    <x v="44"/>
    <x v="20"/>
    <x v="3"/>
    <x v="21"/>
  </r>
  <r>
    <s v="ORD-00750"/>
    <x v="405"/>
    <s v="CUS-SYL-013"/>
    <s v="R03"/>
    <s v="ST-SYL-01"/>
    <x v="25"/>
    <s v="P048"/>
    <n v="1"/>
    <n v="0.03"/>
    <n v="5692"/>
    <n v="4"/>
    <x v="17"/>
    <s v="Shoe Rack"/>
    <s v="Furniture"/>
    <n v="5320"/>
    <x v="133"/>
    <n v="3830"/>
    <n v="3830"/>
    <n v="1490"/>
    <x v="89"/>
    <x v="25"/>
    <x v="3"/>
    <x v="25"/>
  </r>
  <r>
    <s v="ORD-00751"/>
    <x v="406"/>
    <s v="CUS-CTG-016"/>
    <s v="R02"/>
    <s v="ST-CTG-05"/>
    <x v="23"/>
    <s v="P001"/>
    <n v="1"/>
    <n v="0.1"/>
    <n v="3694"/>
    <n v="7"/>
    <x v="12"/>
    <s v="Bluetooth Speaker"/>
    <s v="Electronics"/>
    <n v="3240"/>
    <x v="40"/>
    <n v="2200"/>
    <n v="2200"/>
    <n v="1040"/>
    <x v="115"/>
    <x v="23"/>
    <x v="7"/>
    <x v="31"/>
  </r>
  <r>
    <s v="ORD-00752"/>
    <x v="214"/>
    <s v="CUS-RAN-005"/>
    <s v="R07"/>
    <s v="ST-RAN-02"/>
    <x v="4"/>
    <s v="P032"/>
    <n v="2"/>
    <n v="7.0000000000000007E-2"/>
    <n v="8556"/>
    <n v="7"/>
    <x v="2"/>
    <s v="Football"/>
    <s v="Sports"/>
    <n v="3720"/>
    <x v="44"/>
    <n v="2310"/>
    <n v="4620"/>
    <n v="2820"/>
    <x v="46"/>
    <x v="4"/>
    <x v="0"/>
    <x v="6"/>
  </r>
  <r>
    <s v="ORD-00753"/>
    <x v="244"/>
    <s v="CUS-MYM-021"/>
    <s v="R08"/>
    <s v="ST-MYM-01"/>
    <x v="3"/>
    <s v="P003"/>
    <n v="6"/>
    <n v="0.18"/>
    <n v="18403"/>
    <n v="4"/>
    <x v="19"/>
    <s v="Power Bank"/>
    <s v="Electronics"/>
    <n v="2840"/>
    <x v="165"/>
    <n v="1930"/>
    <n v="11580"/>
    <n v="5460"/>
    <x v="80"/>
    <x v="3"/>
    <x v="2"/>
    <x v="3"/>
  </r>
  <r>
    <s v="ORD-00754"/>
    <x v="399"/>
    <s v="CUS-DHA-013"/>
    <s v="R01"/>
    <s v="ST-DHA-04"/>
    <x v="35"/>
    <s v="P047"/>
    <n v="4"/>
    <n v="0.12"/>
    <n v="49523"/>
    <n v="2"/>
    <x v="24"/>
    <s v="Study Table"/>
    <s v="Furniture"/>
    <n v="11680"/>
    <x v="195"/>
    <n v="8410"/>
    <n v="33640"/>
    <n v="13080"/>
    <x v="6"/>
    <x v="35"/>
    <x v="4"/>
    <x v="35"/>
  </r>
  <r>
    <s v="ORD-00755"/>
    <x v="163"/>
    <s v="CUS-KHL-023"/>
    <s v="R05"/>
    <s v="ST-KHL-02"/>
    <x v="24"/>
    <s v="P046"/>
    <n v="8"/>
    <n v="0.12"/>
    <n v="38194"/>
    <n v="2"/>
    <x v="24"/>
    <s v="Office Chair"/>
    <s v="Furniture"/>
    <n v="4380"/>
    <x v="107"/>
    <n v="3150"/>
    <n v="25200"/>
    <n v="9840"/>
    <x v="69"/>
    <x v="24"/>
    <x v="6"/>
    <x v="14"/>
  </r>
  <r>
    <s v="ORD-00756"/>
    <x v="309"/>
    <s v="CUS-RAJ-013"/>
    <s v="R04"/>
    <s v="ST-RAJ-05"/>
    <x v="1"/>
    <s v="P004"/>
    <n v="5"/>
    <n v="0.18"/>
    <n v="20898"/>
    <n v="7"/>
    <x v="23"/>
    <s v="Smart Watch"/>
    <s v="Electronics"/>
    <n v="3870"/>
    <x v="224"/>
    <n v="2630"/>
    <n v="13150"/>
    <n v="6200"/>
    <x v="130"/>
    <x v="1"/>
    <x v="1"/>
    <x v="38"/>
  </r>
  <r>
    <s v="ORD-00757"/>
    <x v="103"/>
    <s v="CUS-CTG-023"/>
    <s v="R02"/>
    <s v="ST-CTG-04"/>
    <x v="39"/>
    <s v="P007"/>
    <n v="5"/>
    <n v="0.1"/>
    <n v="42351"/>
    <n v="9"/>
    <x v="32"/>
    <s v="Rice Cooker"/>
    <s v="Home Appliance"/>
    <n v="7430"/>
    <x v="154"/>
    <n v="5200"/>
    <n v="26000"/>
    <n v="11150"/>
    <x v="43"/>
    <x v="39"/>
    <x v="7"/>
    <x v="33"/>
  </r>
  <r>
    <s v="ORD-00758"/>
    <x v="407"/>
    <s v="CUS-RAN-007"/>
    <s v="R07"/>
    <s v="ST-RAN-03"/>
    <x v="7"/>
    <s v="P002"/>
    <n v="3"/>
    <n v="0.12"/>
    <n v="11523"/>
    <n v="7"/>
    <x v="12"/>
    <s v="Wireless Mouse"/>
    <s v="Electronics"/>
    <n v="3340"/>
    <x v="134"/>
    <n v="2270"/>
    <n v="6810"/>
    <n v="3210"/>
    <x v="30"/>
    <x v="7"/>
    <x v="0"/>
    <x v="26"/>
  </r>
  <r>
    <s v="ORD-00759"/>
    <x v="362"/>
    <s v="CUS-DHA-008"/>
    <s v="R01"/>
    <s v="ST-DHA-03"/>
    <x v="28"/>
    <s v="P017"/>
    <n v="1"/>
    <n v="0.03"/>
    <n v="392"/>
    <n v="2"/>
    <x v="15"/>
    <s v="Soybean Oil 5L"/>
    <s v="Grocery"/>
    <n v="370"/>
    <x v="79"/>
    <n v="290"/>
    <n v="290"/>
    <n v="80"/>
    <x v="66"/>
    <x v="28"/>
    <x v="4"/>
    <x v="5"/>
  </r>
  <r>
    <s v="ORD-00760"/>
    <x v="408"/>
    <s v="CUS-DHA-008"/>
    <s v="R01"/>
    <s v="ST-DHA-03"/>
    <x v="44"/>
    <s v="P049"/>
    <n v="3"/>
    <n v="0.1"/>
    <n v="13451"/>
    <n v="5"/>
    <x v="29"/>
    <s v="Bookshelf"/>
    <s v="Furniture"/>
    <n v="4230"/>
    <x v="94"/>
    <n v="3050"/>
    <n v="9150"/>
    <n v="3540"/>
    <x v="66"/>
    <x v="44"/>
    <x v="4"/>
    <x v="5"/>
  </r>
  <r>
    <s v="ORD-00761"/>
    <x v="146"/>
    <s v="CUS-DHA-002"/>
    <s v="R01"/>
    <s v="ST-DHA-03"/>
    <x v="44"/>
    <s v="P046"/>
    <n v="10"/>
    <n v="7.0000000000000007E-2"/>
    <n v="46428"/>
    <n v="6"/>
    <x v="16"/>
    <s v="Office Chair"/>
    <s v="Furniture"/>
    <n v="4380"/>
    <x v="263"/>
    <n v="3150"/>
    <n v="31500"/>
    <n v="12300"/>
    <x v="86"/>
    <x v="44"/>
    <x v="4"/>
    <x v="5"/>
  </r>
  <r>
    <s v="ORD-00762"/>
    <x v="213"/>
    <s v="CUS-BAR-025"/>
    <s v="R06"/>
    <s v="ST-BAR-04"/>
    <x v="10"/>
    <s v="P008"/>
    <n v="4"/>
    <n v="0.08"/>
    <n v="10886"/>
    <n v="6"/>
    <x v="16"/>
    <s v="Blender Machine"/>
    <s v="Home Appliance"/>
    <n v="2430"/>
    <x v="81"/>
    <n v="1700"/>
    <n v="6800"/>
    <n v="2920"/>
    <x v="8"/>
    <x v="10"/>
    <x v="5"/>
    <x v="12"/>
  </r>
  <r>
    <s v="ORD-00763"/>
    <x v="123"/>
    <s v="CUS-BAR-014"/>
    <s v="R06"/>
    <s v="ST-BAR-05"/>
    <x v="47"/>
    <s v="P015"/>
    <n v="1"/>
    <n v="0.1"/>
    <n v="2934"/>
    <n v="1"/>
    <x v="13"/>
    <s v="Leather Belt"/>
    <s v="Fashion"/>
    <n v="2620"/>
    <x v="255"/>
    <n v="1440"/>
    <n v="1440"/>
    <n v="1180"/>
    <x v="121"/>
    <x v="47"/>
    <x v="5"/>
    <x v="7"/>
  </r>
  <r>
    <s v="ORD-00764"/>
    <x v="76"/>
    <s v="CUS-DHA-010"/>
    <s v="R01"/>
    <s v="ST-DHA-02"/>
    <x v="28"/>
    <s v="P028"/>
    <n v="6"/>
    <n v="0.05"/>
    <n v="20479"/>
    <n v="3"/>
    <x v="25"/>
    <s v="Ladies Sandal"/>
    <s v="Footwear"/>
    <n v="3220"/>
    <x v="209"/>
    <n v="1930"/>
    <n v="11580"/>
    <n v="7740"/>
    <x v="59"/>
    <x v="28"/>
    <x v="4"/>
    <x v="8"/>
  </r>
  <r>
    <s v="ORD-00765"/>
    <x v="409"/>
    <s v="CUS-RAJ-022"/>
    <s v="R04"/>
    <s v="ST-RAJ-02"/>
    <x v="30"/>
    <s v="P003"/>
    <n v="3"/>
    <n v="0.18"/>
    <n v="9202"/>
    <n v="2"/>
    <x v="10"/>
    <s v="Power Bank"/>
    <s v="Electronics"/>
    <n v="2840"/>
    <x v="3"/>
    <n v="1930"/>
    <n v="5790"/>
    <n v="2730"/>
    <x v="62"/>
    <x v="30"/>
    <x v="1"/>
    <x v="2"/>
  </r>
  <r>
    <s v="ORD-00766"/>
    <x v="410"/>
    <s v="CUS-BAR-015"/>
    <s v="R06"/>
    <s v="ST-BAR-02"/>
    <x v="33"/>
    <s v="P006"/>
    <n v="3"/>
    <n v="0.15"/>
    <n v="24192"/>
    <n v="4"/>
    <x v="3"/>
    <s v="Electric Kettle"/>
    <s v="Home Appliance"/>
    <n v="7200"/>
    <x v="42"/>
    <n v="5040"/>
    <n v="15120"/>
    <n v="6480"/>
    <x v="69"/>
    <x v="33"/>
    <x v="5"/>
    <x v="11"/>
  </r>
  <r>
    <s v="ORD-00767"/>
    <x v="107"/>
    <s v="CUS-RAJ-007"/>
    <s v="R04"/>
    <s v="ST-RAJ-05"/>
    <x v="40"/>
    <s v="P002"/>
    <n v="3"/>
    <n v="0.15"/>
    <n v="10822"/>
    <n v="4"/>
    <x v="3"/>
    <s v="Wireless Mouse"/>
    <s v="Electronics"/>
    <n v="3340"/>
    <x v="134"/>
    <n v="2270"/>
    <n v="6810"/>
    <n v="3210"/>
    <x v="63"/>
    <x v="40"/>
    <x v="1"/>
    <x v="38"/>
  </r>
  <r>
    <s v="ORD-00768"/>
    <x v="411"/>
    <s v="CUS-KHL-018"/>
    <s v="R05"/>
    <s v="ST-KHL-01"/>
    <x v="24"/>
    <s v="P002"/>
    <n v="1"/>
    <n v="0.12"/>
    <n v="3641"/>
    <n v="3"/>
    <x v="21"/>
    <s v="Wireless Mouse"/>
    <s v="Electronics"/>
    <n v="3340"/>
    <x v="55"/>
    <n v="2270"/>
    <n v="2270"/>
    <n v="1070"/>
    <x v="32"/>
    <x v="24"/>
    <x v="6"/>
    <x v="24"/>
  </r>
  <r>
    <s v="ORD-00769"/>
    <x v="159"/>
    <s v="CUS-SYL-003"/>
    <s v="R03"/>
    <s v="ST-SYL-03"/>
    <x v="5"/>
    <s v="P009"/>
    <n v="3"/>
    <n v="0.15"/>
    <n v="14638"/>
    <n v="5"/>
    <x v="5"/>
    <s v="Steam Iron"/>
    <s v="Home Appliance"/>
    <n v="4560"/>
    <x v="6"/>
    <n v="3190"/>
    <n v="9570"/>
    <n v="4110"/>
    <x v="36"/>
    <x v="5"/>
    <x v="3"/>
    <x v="23"/>
  </r>
  <r>
    <s v="ORD-00770"/>
    <x v="41"/>
    <s v="CUS-KHL-025"/>
    <s v="R05"/>
    <s v="ST-KHL-04"/>
    <x v="13"/>
    <s v="P045"/>
    <n v="8"/>
    <n v="0.1"/>
    <n v="7325"/>
    <n v="5"/>
    <x v="29"/>
    <s v="Kids Story Book"/>
    <s v="Kids &amp; Toys"/>
    <n v="840"/>
    <x v="98"/>
    <n v="460"/>
    <n v="3680"/>
    <n v="3040"/>
    <x v="81"/>
    <x v="13"/>
    <x v="6"/>
    <x v="19"/>
  </r>
  <r>
    <s v="ORD-00771"/>
    <x v="213"/>
    <s v="CUS-DHA-012"/>
    <s v="R01"/>
    <s v="ST-DHA-03"/>
    <x v="6"/>
    <s v="P010"/>
    <n v="2"/>
    <n v="0.18"/>
    <n v="6593"/>
    <n v="6"/>
    <x v="11"/>
    <s v="Table Fan"/>
    <s v="Home Appliance"/>
    <n v="3110"/>
    <x v="127"/>
    <n v="2180"/>
    <n v="4360"/>
    <n v="1860"/>
    <x v="140"/>
    <x v="6"/>
    <x v="4"/>
    <x v="5"/>
  </r>
  <r>
    <s v="ORD-00772"/>
    <x v="143"/>
    <s v="CUS-BAR-003"/>
    <s v="R06"/>
    <s v="ST-BAR-04"/>
    <x v="12"/>
    <s v="P012"/>
    <n v="3"/>
    <n v="0.03"/>
    <n v="6115"/>
    <n v="1"/>
    <x v="7"/>
    <s v="Formal Shirt"/>
    <s v="Fashion"/>
    <n v="1820"/>
    <x v="20"/>
    <n v="1000"/>
    <n v="3000"/>
    <n v="2460"/>
    <x v="115"/>
    <x v="12"/>
    <x v="5"/>
    <x v="12"/>
  </r>
  <r>
    <s v="ORD-00773"/>
    <x v="64"/>
    <s v="CUS-RAJ-023"/>
    <s v="R04"/>
    <s v="ST-RAJ-05"/>
    <x v="1"/>
    <s v="P003"/>
    <n v="2"/>
    <n v="0.18"/>
    <n v="6134"/>
    <n v="3"/>
    <x v="20"/>
    <s v="Power Bank"/>
    <s v="Electronics"/>
    <n v="2840"/>
    <x v="54"/>
    <n v="1930"/>
    <n v="3860"/>
    <n v="1820"/>
    <x v="50"/>
    <x v="1"/>
    <x v="1"/>
    <x v="38"/>
  </r>
  <r>
    <s v="ORD-00774"/>
    <x v="412"/>
    <s v="CUS-RAN-015"/>
    <s v="R07"/>
    <s v="ST-RAN-01"/>
    <x v="42"/>
    <s v="P012"/>
    <n v="1"/>
    <n v="0.03"/>
    <n v="2093"/>
    <n v="6"/>
    <x v="4"/>
    <s v="Formal Shirt"/>
    <s v="Fashion"/>
    <n v="1820"/>
    <x v="76"/>
    <n v="1000"/>
    <n v="1000"/>
    <n v="820"/>
    <x v="129"/>
    <x v="42"/>
    <x v="0"/>
    <x v="0"/>
  </r>
  <r>
    <s v="ORD-00775"/>
    <x v="362"/>
    <s v="CUS-RAN-025"/>
    <s v="R07"/>
    <s v="ST-RAN-04"/>
    <x v="27"/>
    <s v="P010"/>
    <n v="4"/>
    <n v="0.15"/>
    <n v="14306"/>
    <n v="9"/>
    <x v="0"/>
    <s v="Table Fan"/>
    <s v="Home Appliance"/>
    <n v="3110"/>
    <x v="38"/>
    <n v="2180"/>
    <n v="8720"/>
    <n v="3720"/>
    <x v="19"/>
    <x v="27"/>
    <x v="0"/>
    <x v="13"/>
  </r>
  <r>
    <s v="ORD-00776"/>
    <x v="413"/>
    <s v="CUS-CTG-009"/>
    <s v="R02"/>
    <s v="ST-CTG-04"/>
    <x v="41"/>
    <s v="P018"/>
    <n v="1"/>
    <n v="0.03"/>
    <n v="1949"/>
    <n v="8"/>
    <x v="23"/>
    <s v="Lentil 1kg"/>
    <s v="Grocery"/>
    <n v="1710"/>
    <x v="84"/>
    <n v="1330"/>
    <n v="1330"/>
    <n v="380"/>
    <x v="137"/>
    <x v="41"/>
    <x v="7"/>
    <x v="33"/>
  </r>
  <r>
    <s v="ORD-00777"/>
    <x v="331"/>
    <s v="CUS-DHA-020"/>
    <s v="R01"/>
    <s v="ST-DHA-04"/>
    <x v="44"/>
    <s v="P046"/>
    <n v="4"/>
    <n v="0.1"/>
    <n v="18571"/>
    <n v="4"/>
    <x v="6"/>
    <s v="Office Chair"/>
    <s v="Furniture"/>
    <n v="4380"/>
    <x v="264"/>
    <n v="3150"/>
    <n v="12600"/>
    <n v="4920"/>
    <x v="53"/>
    <x v="44"/>
    <x v="4"/>
    <x v="35"/>
  </r>
  <r>
    <s v="ORD-00778"/>
    <x v="256"/>
    <s v="CUS-DHA-025"/>
    <s v="R01"/>
    <s v="ST-DHA-04"/>
    <x v="14"/>
    <s v="P005"/>
    <n v="1"/>
    <n v="0.08"/>
    <n v="5183"/>
    <n v="3"/>
    <x v="25"/>
    <s v="USB-C Hub"/>
    <s v="Electronics"/>
    <n v="4890"/>
    <x v="100"/>
    <n v="3330"/>
    <n v="3330"/>
    <n v="1560"/>
    <x v="9"/>
    <x v="14"/>
    <x v="4"/>
    <x v="35"/>
  </r>
  <r>
    <s v="ORD-00779"/>
    <x v="414"/>
    <s v="CUS-KHL-013"/>
    <s v="R05"/>
    <s v="ST-KHL-01"/>
    <x v="16"/>
    <s v="P041"/>
    <n v="7"/>
    <n v="0.05"/>
    <n v="6409"/>
    <n v="2"/>
    <x v="15"/>
    <s v="Building Blocks"/>
    <s v="Kids &amp; Toys"/>
    <n v="840"/>
    <x v="265"/>
    <n v="460"/>
    <n v="3220"/>
    <n v="2660"/>
    <x v="8"/>
    <x v="16"/>
    <x v="6"/>
    <x v="24"/>
  </r>
  <r>
    <s v="ORD-00780"/>
    <x v="415"/>
    <s v="CUS-DHA-003"/>
    <s v="R01"/>
    <s v="ST-DHA-04"/>
    <x v="14"/>
    <s v="P048"/>
    <n v="1"/>
    <n v="7.0000000000000007E-2"/>
    <n v="5639"/>
    <n v="3"/>
    <x v="25"/>
    <s v="Shoe Rack"/>
    <s v="Furniture"/>
    <n v="5320"/>
    <x v="133"/>
    <n v="3830"/>
    <n v="3830"/>
    <n v="1490"/>
    <x v="65"/>
    <x v="14"/>
    <x v="4"/>
    <x v="35"/>
  </r>
  <r>
    <s v="ORD-00781"/>
    <x v="306"/>
    <s v="CUS-RAN-016"/>
    <s v="R07"/>
    <s v="ST-RAN-04"/>
    <x v="21"/>
    <s v="P028"/>
    <n v="8"/>
    <n v="0.1"/>
    <n v="29624"/>
    <n v="4"/>
    <x v="6"/>
    <s v="Ladies Sandal"/>
    <s v="Footwear"/>
    <n v="3220"/>
    <x v="258"/>
    <n v="1930"/>
    <n v="15440"/>
    <n v="10320"/>
    <x v="0"/>
    <x v="21"/>
    <x v="0"/>
    <x v="13"/>
  </r>
  <r>
    <s v="ORD-00782"/>
    <x v="198"/>
    <s v="CUS-RAN-001"/>
    <s v="R07"/>
    <s v="ST-RAN-05"/>
    <x v="21"/>
    <s v="P004"/>
    <n v="2"/>
    <n v="0.12"/>
    <n v="8901"/>
    <n v="8"/>
    <x v="27"/>
    <s v="Smart Watch"/>
    <s v="Electronics"/>
    <n v="3870"/>
    <x v="118"/>
    <n v="2630"/>
    <n v="5260"/>
    <n v="2480"/>
    <x v="141"/>
    <x v="21"/>
    <x v="0"/>
    <x v="39"/>
  </r>
  <r>
    <s v="ORD-00783"/>
    <x v="296"/>
    <s v="CUS-DHA-005"/>
    <s v="R01"/>
    <s v="ST-DHA-04"/>
    <x v="28"/>
    <s v="P014"/>
    <n v="1"/>
    <n v="0.1"/>
    <n v="933"/>
    <n v="2"/>
    <x v="24"/>
    <s v="Denim Jeans"/>
    <s v="Fashion"/>
    <n v="880"/>
    <x v="192"/>
    <n v="480"/>
    <n v="480"/>
    <n v="400"/>
    <x v="43"/>
    <x v="28"/>
    <x v="4"/>
    <x v="35"/>
  </r>
  <r>
    <s v="ORD-00784"/>
    <x v="227"/>
    <s v="CUS-MYM-005"/>
    <s v="R08"/>
    <s v="ST-MYM-04"/>
    <x v="43"/>
    <s v="P048"/>
    <n v="3"/>
    <n v="0.05"/>
    <n v="17237"/>
    <n v="9"/>
    <x v="9"/>
    <s v="Shoe Rack"/>
    <s v="Furniture"/>
    <n v="5320"/>
    <x v="242"/>
    <n v="3830"/>
    <n v="11490"/>
    <n v="4470"/>
    <x v="3"/>
    <x v="43"/>
    <x v="2"/>
    <x v="34"/>
  </r>
  <r>
    <s v="ORD-00785"/>
    <x v="259"/>
    <s v="CUS-RAN-023"/>
    <s v="R07"/>
    <s v="ST-RAN-05"/>
    <x v="27"/>
    <s v="P022"/>
    <n v="2"/>
    <n v="0.05"/>
    <n v="3818"/>
    <n v="8"/>
    <x v="30"/>
    <s v="Shampoo 375ml"/>
    <s v="Beauty &amp; Personal Care"/>
    <n v="1660"/>
    <x v="110"/>
    <n v="960"/>
    <n v="1920"/>
    <n v="1400"/>
    <x v="125"/>
    <x v="27"/>
    <x v="0"/>
    <x v="39"/>
  </r>
  <r>
    <s v="ORD-00786"/>
    <x v="52"/>
    <s v="CUS-DHA-012"/>
    <s v="R01"/>
    <s v="ST-DHA-03"/>
    <x v="44"/>
    <s v="P006"/>
    <n v="3"/>
    <n v="0.08"/>
    <n v="22896"/>
    <n v="4"/>
    <x v="6"/>
    <s v="Electric Kettle"/>
    <s v="Home Appliance"/>
    <n v="7200"/>
    <x v="42"/>
    <n v="5040"/>
    <n v="15120"/>
    <n v="6480"/>
    <x v="140"/>
    <x v="44"/>
    <x v="4"/>
    <x v="5"/>
  </r>
  <r>
    <s v="ORD-00787"/>
    <x v="282"/>
    <s v="CUS-MYM-021"/>
    <s v="R08"/>
    <s v="ST-MYM-04"/>
    <x v="19"/>
    <s v="P010"/>
    <n v="6"/>
    <n v="0.18"/>
    <n v="20153"/>
    <n v="8"/>
    <x v="9"/>
    <s v="Table Fan"/>
    <s v="Home Appliance"/>
    <n v="3110"/>
    <x v="137"/>
    <n v="2180"/>
    <n v="13080"/>
    <n v="5580"/>
    <x v="80"/>
    <x v="19"/>
    <x v="2"/>
    <x v="34"/>
  </r>
  <r>
    <s v="ORD-00788"/>
    <x v="207"/>
    <s v="CUS-SYL-015"/>
    <s v="R03"/>
    <s v="ST-SYL-04"/>
    <x v="38"/>
    <s v="P004"/>
    <n v="3"/>
    <n v="0.15"/>
    <n v="12423"/>
    <n v="3"/>
    <x v="17"/>
    <s v="Smart Watch"/>
    <s v="Electronics"/>
    <n v="3870"/>
    <x v="39"/>
    <n v="2630"/>
    <n v="7890"/>
    <n v="3720"/>
    <x v="74"/>
    <x v="38"/>
    <x v="3"/>
    <x v="21"/>
  </r>
  <r>
    <s v="ORD-00789"/>
    <x v="386"/>
    <s v="CUS-KHL-022"/>
    <s v="R05"/>
    <s v="ST-KHL-04"/>
    <x v="13"/>
    <s v="P006"/>
    <n v="10"/>
    <n v="0.08"/>
    <n v="78480"/>
    <n v="4"/>
    <x v="6"/>
    <s v="Electric Kettle"/>
    <s v="Home Appliance"/>
    <n v="7200"/>
    <x v="237"/>
    <n v="5040"/>
    <n v="50400"/>
    <n v="21600"/>
    <x v="24"/>
    <x v="13"/>
    <x v="6"/>
    <x v="19"/>
  </r>
  <r>
    <s v="ORD-00790"/>
    <x v="9"/>
    <s v="CUS-RAN-004"/>
    <s v="R07"/>
    <s v="ST-RAN-04"/>
    <x v="0"/>
    <s v="P033"/>
    <n v="5"/>
    <n v="0.12"/>
    <n v="17825"/>
    <n v="4"/>
    <x v="6"/>
    <s v="Badminton Racket"/>
    <s v="Sports"/>
    <n v="3100"/>
    <x v="266"/>
    <n v="1920"/>
    <n v="9600"/>
    <n v="5900"/>
    <x v="74"/>
    <x v="0"/>
    <x v="0"/>
    <x v="13"/>
  </r>
  <r>
    <s v="ORD-00791"/>
    <x v="399"/>
    <s v="CUS-DHA-022"/>
    <s v="R01"/>
    <s v="ST-DHA-03"/>
    <x v="6"/>
    <s v="P004"/>
    <n v="3"/>
    <n v="0.1"/>
    <n v="12307"/>
    <n v="5"/>
    <x v="29"/>
    <s v="Smart Watch"/>
    <s v="Electronics"/>
    <n v="3870"/>
    <x v="39"/>
    <n v="2630"/>
    <n v="7890"/>
    <n v="3720"/>
    <x v="41"/>
    <x v="6"/>
    <x v="4"/>
    <x v="5"/>
  </r>
  <r>
    <s v="ORD-00792"/>
    <x v="352"/>
    <s v="CUS-BAR-015"/>
    <s v="R06"/>
    <s v="ST-BAR-04"/>
    <x v="10"/>
    <s v="P029"/>
    <n v="1"/>
    <n v="7.0000000000000007E-2"/>
    <n v="3002"/>
    <n v="2"/>
    <x v="18"/>
    <s v="Kids Sneaker"/>
    <s v="Footwear"/>
    <n v="2680"/>
    <x v="267"/>
    <n v="1610"/>
    <n v="1610"/>
    <n v="1070"/>
    <x v="69"/>
    <x v="10"/>
    <x v="5"/>
    <x v="12"/>
  </r>
  <r>
    <s v="ORD-00793"/>
    <x v="93"/>
    <s v="CUS-RAJ-017"/>
    <s v="R04"/>
    <s v="ST-RAJ-03"/>
    <x v="26"/>
    <s v="P042"/>
    <n v="2"/>
    <n v="0.1"/>
    <n v="3931"/>
    <n v="4"/>
    <x v="6"/>
    <s v="Toy Car Set"/>
    <s v="Kids &amp; Toys"/>
    <n v="1820"/>
    <x v="48"/>
    <n v="1000"/>
    <n v="2000"/>
    <n v="1640"/>
    <x v="55"/>
    <x v="26"/>
    <x v="1"/>
    <x v="18"/>
  </r>
  <r>
    <s v="ORD-00794"/>
    <x v="217"/>
    <s v="CUS-RAN-002"/>
    <s v="R07"/>
    <s v="ST-RAN-01"/>
    <x v="7"/>
    <s v="P003"/>
    <n v="5"/>
    <n v="0.18"/>
    <n v="16330"/>
    <n v="6"/>
    <x v="11"/>
    <s v="Power Bank"/>
    <s v="Electronics"/>
    <n v="2840"/>
    <x v="57"/>
    <n v="1930"/>
    <n v="9650"/>
    <n v="4550"/>
    <x v="12"/>
    <x v="7"/>
    <x v="0"/>
    <x v="0"/>
  </r>
  <r>
    <s v="ORD-00795"/>
    <x v="285"/>
    <s v="CUS-BAR-011"/>
    <s v="R06"/>
    <s v="ST-BAR-02"/>
    <x v="12"/>
    <s v="P050"/>
    <n v="3"/>
    <n v="0.1"/>
    <n v="19723"/>
    <n v="8"/>
    <x v="27"/>
    <s v="Bedside Table"/>
    <s v="Furniture"/>
    <n v="5870"/>
    <x v="268"/>
    <n v="4230"/>
    <n v="12690"/>
    <n v="4920"/>
    <x v="39"/>
    <x v="12"/>
    <x v="5"/>
    <x v="11"/>
  </r>
  <r>
    <s v="ORD-00796"/>
    <x v="396"/>
    <s v="CUS-DHA-019"/>
    <s v="R01"/>
    <s v="ST-DHA-04"/>
    <x v="28"/>
    <s v="P046"/>
    <n v="8"/>
    <n v="0.05"/>
    <n v="37142"/>
    <n v="6"/>
    <x v="4"/>
    <s v="Office Chair"/>
    <s v="Furniture"/>
    <n v="4380"/>
    <x v="107"/>
    <n v="3150"/>
    <n v="25200"/>
    <n v="9840"/>
    <x v="52"/>
    <x v="28"/>
    <x v="4"/>
    <x v="35"/>
  </r>
  <r>
    <s v="ORD-00797"/>
    <x v="386"/>
    <s v="CUS-RAN-011"/>
    <s v="R07"/>
    <s v="ST-RAN-05"/>
    <x v="27"/>
    <s v="P011"/>
    <n v="4"/>
    <n v="0.12"/>
    <n v="8602"/>
    <n v="8"/>
    <x v="27"/>
    <s v="Cotton T-Shirt"/>
    <s v="Fashion"/>
    <n v="1870"/>
    <x v="35"/>
    <n v="1030"/>
    <n v="4120"/>
    <n v="3360"/>
    <x v="99"/>
    <x v="27"/>
    <x v="0"/>
    <x v="39"/>
  </r>
  <r>
    <s v="ORD-00798"/>
    <x v="94"/>
    <s v="CUS-RAN-025"/>
    <s v="R07"/>
    <s v="ST-RAN-03"/>
    <x v="21"/>
    <s v="P003"/>
    <n v="1"/>
    <n v="0.08"/>
    <n v="3266"/>
    <n v="8"/>
    <x v="30"/>
    <s v="Power Bank"/>
    <s v="Electronics"/>
    <n v="2840"/>
    <x v="53"/>
    <n v="1930"/>
    <n v="1930"/>
    <n v="910"/>
    <x v="19"/>
    <x v="21"/>
    <x v="0"/>
    <x v="26"/>
  </r>
  <r>
    <s v="ORD-00799"/>
    <x v="107"/>
    <s v="CUS-DHA-014"/>
    <s v="R01"/>
    <s v="ST-DHA-01"/>
    <x v="35"/>
    <s v="P034"/>
    <n v="1"/>
    <n v="0.12"/>
    <n v="2894"/>
    <n v="3"/>
    <x v="21"/>
    <s v="Yoga Mat"/>
    <s v="Sports"/>
    <n v="2730"/>
    <x v="128"/>
    <n v="1690"/>
    <n v="1690"/>
    <n v="1040"/>
    <x v="23"/>
    <x v="35"/>
    <x v="4"/>
    <x v="29"/>
  </r>
  <r>
    <s v="ORD-00800"/>
    <x v="180"/>
    <s v="CUS-RAN-001"/>
    <s v="R07"/>
    <s v="ST-RAN-02"/>
    <x v="4"/>
    <s v="P024"/>
    <n v="1"/>
    <n v="0.05"/>
    <n v="1621"/>
    <n v="6"/>
    <x v="4"/>
    <s v="Toothpaste Twin Pack"/>
    <s v="Beauty &amp; Personal Care"/>
    <n v="1410"/>
    <x v="257"/>
    <n v="820"/>
    <n v="820"/>
    <n v="590"/>
    <x v="141"/>
    <x v="4"/>
    <x v="0"/>
    <x v="6"/>
  </r>
  <r>
    <s v="ORD-00801"/>
    <x v="416"/>
    <s v="CUS-KHL-007"/>
    <s v="R05"/>
    <s v="ST-KHL-05"/>
    <x v="36"/>
    <s v="P031"/>
    <n v="4"/>
    <n v="0.03"/>
    <n v="11510"/>
    <n v="2"/>
    <x v="15"/>
    <s v="Cricket Bat"/>
    <s v="Sports"/>
    <n v="2640"/>
    <x v="22"/>
    <n v="1640"/>
    <n v="6560"/>
    <n v="4000"/>
    <x v="79"/>
    <x v="36"/>
    <x v="6"/>
    <x v="30"/>
  </r>
  <r>
    <s v="ORD-00802"/>
    <x v="329"/>
    <s v="CUS-DHA-021"/>
    <s v="R01"/>
    <s v="ST-DHA-05"/>
    <x v="44"/>
    <s v="P002"/>
    <n v="1"/>
    <n v="0.12"/>
    <n v="3540"/>
    <n v="6"/>
    <x v="28"/>
    <s v="Wireless Mouse"/>
    <s v="Electronics"/>
    <n v="3340"/>
    <x v="55"/>
    <n v="2270"/>
    <n v="2270"/>
    <n v="1070"/>
    <x v="111"/>
    <x v="44"/>
    <x v="4"/>
    <x v="15"/>
  </r>
  <r>
    <s v="ORD-00803"/>
    <x v="331"/>
    <s v="CUS-KHL-006"/>
    <s v="R05"/>
    <s v="ST-KHL-01"/>
    <x v="45"/>
    <s v="P014"/>
    <n v="6"/>
    <n v="0.05"/>
    <n v="5755"/>
    <n v="1"/>
    <x v="7"/>
    <s v="Denim Jeans"/>
    <s v="Fashion"/>
    <n v="880"/>
    <x v="151"/>
    <n v="480"/>
    <n v="2880"/>
    <n v="2400"/>
    <x v="56"/>
    <x v="45"/>
    <x v="6"/>
    <x v="24"/>
  </r>
  <r>
    <s v="ORD-00804"/>
    <x v="109"/>
    <s v="CUS-DHA-014"/>
    <s v="R01"/>
    <s v="ST-DHA-01"/>
    <x v="6"/>
    <s v="P048"/>
    <n v="2"/>
    <n v="0.1"/>
    <n v="11278"/>
    <n v="5"/>
    <x v="29"/>
    <s v="Shoe Rack"/>
    <s v="Furniture"/>
    <n v="5320"/>
    <x v="146"/>
    <n v="3830"/>
    <n v="7660"/>
    <n v="2980"/>
    <x v="23"/>
    <x v="6"/>
    <x v="4"/>
    <x v="29"/>
  </r>
  <r>
    <s v="ORD-00805"/>
    <x v="355"/>
    <s v="CUS-BAR-021"/>
    <s v="R06"/>
    <s v="ST-BAR-04"/>
    <x v="8"/>
    <s v="P004"/>
    <n v="6"/>
    <n v="0.18"/>
    <n v="26006"/>
    <n v="3"/>
    <x v="20"/>
    <s v="Smart Watch"/>
    <s v="Electronics"/>
    <n v="3870"/>
    <x v="176"/>
    <n v="2630"/>
    <n v="15780"/>
    <n v="7440"/>
    <x v="45"/>
    <x v="8"/>
    <x v="5"/>
    <x v="12"/>
  </r>
  <r>
    <s v="ORD-00806"/>
    <x v="354"/>
    <s v="CUS-CTG-011"/>
    <s v="R02"/>
    <s v="ST-CTG-03"/>
    <x v="39"/>
    <s v="P050"/>
    <n v="1"/>
    <n v="7.0000000000000007E-2"/>
    <n v="6692"/>
    <n v="4"/>
    <x v="20"/>
    <s v="Bedside Table"/>
    <s v="Furniture"/>
    <n v="5870"/>
    <x v="158"/>
    <n v="4230"/>
    <n v="4230"/>
    <n v="1640"/>
    <x v="61"/>
    <x v="39"/>
    <x v="7"/>
    <x v="16"/>
  </r>
  <r>
    <s v="ORD-00807"/>
    <x v="417"/>
    <s v="CUS-CTG-007"/>
    <s v="R02"/>
    <s v="ST-CTG-05"/>
    <x v="41"/>
    <s v="P017"/>
    <n v="3"/>
    <n v="0.02"/>
    <n v="1265"/>
    <n v="5"/>
    <x v="3"/>
    <s v="Soybean Oil 5L"/>
    <s v="Grocery"/>
    <n v="370"/>
    <x v="139"/>
    <n v="290"/>
    <n v="870"/>
    <n v="240"/>
    <x v="62"/>
    <x v="41"/>
    <x v="7"/>
    <x v="31"/>
  </r>
  <r>
    <s v="ORD-00808"/>
    <x v="334"/>
    <s v="CUS-RAJ-001"/>
    <s v="R04"/>
    <s v="ST-RAJ-03"/>
    <x v="46"/>
    <s v="P004"/>
    <n v="2"/>
    <n v="0.15"/>
    <n v="8359"/>
    <n v="6"/>
    <x v="28"/>
    <s v="Smart Watch"/>
    <s v="Electronics"/>
    <n v="3870"/>
    <x v="118"/>
    <n v="2630"/>
    <n v="5260"/>
    <n v="2480"/>
    <x v="102"/>
    <x v="46"/>
    <x v="1"/>
    <x v="18"/>
  </r>
  <r>
    <s v="ORD-00809"/>
    <x v="138"/>
    <s v="CUS-RAJ-003"/>
    <s v="R04"/>
    <s v="ST-RAJ-03"/>
    <x v="30"/>
    <s v="P018"/>
    <n v="2"/>
    <n v="0.05"/>
    <n v="3694"/>
    <n v="1"/>
    <x v="7"/>
    <s v="Lentil 1kg"/>
    <s v="Grocery"/>
    <n v="1710"/>
    <x v="7"/>
    <n v="1330"/>
    <n v="2660"/>
    <n v="760"/>
    <x v="88"/>
    <x v="30"/>
    <x v="1"/>
    <x v="18"/>
  </r>
  <r>
    <s v="ORD-00810"/>
    <x v="351"/>
    <s v="CUS-RAJ-009"/>
    <s v="R04"/>
    <s v="ST-RAJ-02"/>
    <x v="46"/>
    <s v="P028"/>
    <n v="8"/>
    <n v="0.03"/>
    <n v="27821"/>
    <n v="6"/>
    <x v="4"/>
    <s v="Ladies Sandal"/>
    <s v="Footwear"/>
    <n v="3220"/>
    <x v="258"/>
    <n v="1930"/>
    <n v="15440"/>
    <n v="10320"/>
    <x v="76"/>
    <x v="46"/>
    <x v="1"/>
    <x v="2"/>
  </r>
  <r>
    <s v="ORD-00811"/>
    <x v="208"/>
    <s v="CUS-KHL-006"/>
    <s v="R05"/>
    <s v="ST-KHL-02"/>
    <x v="13"/>
    <s v="P014"/>
    <n v="4"/>
    <n v="7.0000000000000007E-2"/>
    <n v="3837"/>
    <n v="4"/>
    <x v="20"/>
    <s v="Denim Jeans"/>
    <s v="Fashion"/>
    <n v="880"/>
    <x v="32"/>
    <n v="480"/>
    <n v="1920"/>
    <n v="1600"/>
    <x v="56"/>
    <x v="13"/>
    <x v="6"/>
    <x v="14"/>
  </r>
  <r>
    <s v="ORD-00812"/>
    <x v="302"/>
    <s v="CUS-RAN-014"/>
    <s v="R07"/>
    <s v="ST-RAN-02"/>
    <x v="21"/>
    <s v="P008"/>
    <n v="2"/>
    <n v="0.18"/>
    <n v="5589"/>
    <n v="6"/>
    <x v="11"/>
    <s v="Blender Machine"/>
    <s v="Home Appliance"/>
    <n v="2430"/>
    <x v="47"/>
    <n v="1700"/>
    <n v="3400"/>
    <n v="1460"/>
    <x v="7"/>
    <x v="21"/>
    <x v="0"/>
    <x v="6"/>
  </r>
  <r>
    <s v="ORD-00813"/>
    <x v="282"/>
    <s v="CUS-KHL-019"/>
    <s v="R05"/>
    <s v="ST-KHL-04"/>
    <x v="16"/>
    <s v="P022"/>
    <n v="2"/>
    <n v="0.05"/>
    <n v="3619"/>
    <n v="4"/>
    <x v="20"/>
    <s v="Shampoo 375ml"/>
    <s v="Beauty &amp; Personal Care"/>
    <n v="1660"/>
    <x v="110"/>
    <n v="960"/>
    <n v="1920"/>
    <n v="1400"/>
    <x v="70"/>
    <x v="16"/>
    <x v="6"/>
    <x v="19"/>
  </r>
  <r>
    <s v="ORD-00814"/>
    <x v="405"/>
    <s v="CUS-SYL-012"/>
    <s v="R03"/>
    <s v="ST-SYL-02"/>
    <x v="34"/>
    <s v="P004"/>
    <n v="2"/>
    <n v="0.12"/>
    <n v="8282"/>
    <n v="1"/>
    <x v="1"/>
    <s v="Smart Watch"/>
    <s v="Electronics"/>
    <n v="3870"/>
    <x v="118"/>
    <n v="2630"/>
    <n v="5260"/>
    <n v="2480"/>
    <x v="127"/>
    <x v="34"/>
    <x v="3"/>
    <x v="32"/>
  </r>
  <r>
    <s v="ORD-00815"/>
    <x v="373"/>
    <s v="CUS-CTG-001"/>
    <s v="R02"/>
    <s v="ST-CTG-03"/>
    <x v="37"/>
    <s v="P001"/>
    <n v="3"/>
    <n v="0.12"/>
    <n v="11081"/>
    <n v="7"/>
    <x v="12"/>
    <s v="Bluetooth Speaker"/>
    <s v="Electronics"/>
    <n v="3240"/>
    <x v="81"/>
    <n v="2200"/>
    <n v="6600"/>
    <n v="3120"/>
    <x v="107"/>
    <x v="37"/>
    <x v="7"/>
    <x v="16"/>
  </r>
  <r>
    <s v="ORD-00816"/>
    <x v="77"/>
    <s v="CUS-RAN-010"/>
    <s v="R07"/>
    <s v="ST-RAN-05"/>
    <x v="27"/>
    <s v="P016"/>
    <n v="5"/>
    <n v="0"/>
    <n v="6382"/>
    <n v="5"/>
    <x v="3"/>
    <s v="Premium Rice 5kg"/>
    <s v="Grocery"/>
    <n v="1110"/>
    <x v="62"/>
    <n v="870"/>
    <n v="4350"/>
    <n v="1200"/>
    <x v="100"/>
    <x v="27"/>
    <x v="0"/>
    <x v="39"/>
  </r>
  <r>
    <s v="ORD-00817"/>
    <x v="223"/>
    <s v="CUS-RAN-022"/>
    <s v="R07"/>
    <s v="ST-RAN-04"/>
    <x v="42"/>
    <s v="P037"/>
    <n v="1"/>
    <n v="0.05"/>
    <n v="391"/>
    <n v="1"/>
    <x v="7"/>
    <s v="Ball Pen Box"/>
    <s v="Stationery"/>
    <n v="340"/>
    <x v="214"/>
    <n v="170"/>
    <n v="170"/>
    <n v="170"/>
    <x v="42"/>
    <x v="42"/>
    <x v="0"/>
    <x v="13"/>
  </r>
  <r>
    <s v="ORD-00818"/>
    <x v="267"/>
    <s v="CUS-RAN-004"/>
    <s v="R07"/>
    <s v="ST-RAN-01"/>
    <x v="4"/>
    <s v="P004"/>
    <n v="3"/>
    <n v="0.18"/>
    <n v="13351"/>
    <n v="6"/>
    <x v="11"/>
    <s v="Smart Watch"/>
    <s v="Electronics"/>
    <n v="3870"/>
    <x v="39"/>
    <n v="2630"/>
    <n v="7890"/>
    <n v="3720"/>
    <x v="74"/>
    <x v="4"/>
    <x v="0"/>
    <x v="0"/>
  </r>
  <r>
    <s v="ORD-00819"/>
    <x v="58"/>
    <s v="CUS-DHA-010"/>
    <s v="R01"/>
    <s v="ST-DHA-01"/>
    <x v="35"/>
    <s v="P035"/>
    <n v="6"/>
    <n v="7.0000000000000007E-2"/>
    <n v="7060"/>
    <n v="5"/>
    <x v="29"/>
    <s v="Dumbbell Set"/>
    <s v="Sports"/>
    <n v="1110"/>
    <x v="230"/>
    <n v="690"/>
    <n v="4140"/>
    <n v="2520"/>
    <x v="59"/>
    <x v="35"/>
    <x v="4"/>
    <x v="29"/>
  </r>
  <r>
    <s v="ORD-00820"/>
    <x v="249"/>
    <s v="CUS-DHA-018"/>
    <s v="R01"/>
    <s v="ST-DHA-05"/>
    <x v="44"/>
    <s v="P008"/>
    <n v="1"/>
    <n v="0.08"/>
    <n v="2576"/>
    <n v="7"/>
    <x v="2"/>
    <s v="Blender Machine"/>
    <s v="Home Appliance"/>
    <n v="2430"/>
    <x v="269"/>
    <n v="1700"/>
    <n v="1700"/>
    <n v="730"/>
    <x v="45"/>
    <x v="44"/>
    <x v="4"/>
    <x v="15"/>
  </r>
  <r>
    <s v="ORD-00821"/>
    <x v="418"/>
    <s v="CUS-RAN-024"/>
    <s v="R07"/>
    <s v="ST-RAN-03"/>
    <x v="42"/>
    <s v="P007"/>
    <n v="4"/>
    <n v="0.12"/>
    <n v="34178"/>
    <n v="7"/>
    <x v="12"/>
    <s v="Rice Cooker"/>
    <s v="Home Appliance"/>
    <n v="7430"/>
    <x v="122"/>
    <n v="5200"/>
    <n v="20800"/>
    <n v="8920"/>
    <x v="104"/>
    <x v="42"/>
    <x v="0"/>
    <x v="26"/>
  </r>
  <r>
    <s v="ORD-00822"/>
    <x v="317"/>
    <s v="CUS-KHL-023"/>
    <s v="R05"/>
    <s v="ST-KHL-04"/>
    <x v="24"/>
    <s v="P040"/>
    <n v="5"/>
    <n v="0"/>
    <n v="4142"/>
    <n v="3"/>
    <x v="10"/>
    <s v="Sticky Notes"/>
    <s v="Stationery"/>
    <n v="760"/>
    <x v="155"/>
    <n v="380"/>
    <n v="1900"/>
    <n v="1900"/>
    <x v="69"/>
    <x v="24"/>
    <x v="6"/>
    <x v="19"/>
  </r>
  <r>
    <s v="ORD-00823"/>
    <x v="94"/>
    <s v="CUS-DHA-008"/>
    <s v="R01"/>
    <s v="ST-DHA-01"/>
    <x v="44"/>
    <s v="P003"/>
    <n v="5"/>
    <n v="0.15"/>
    <n v="15052"/>
    <n v="2"/>
    <x v="10"/>
    <s v="Power Bank"/>
    <s v="Electronics"/>
    <n v="2840"/>
    <x v="57"/>
    <n v="1930"/>
    <n v="9650"/>
    <n v="4550"/>
    <x v="66"/>
    <x v="44"/>
    <x v="4"/>
    <x v="29"/>
  </r>
  <r>
    <s v="ORD-00824"/>
    <x v="147"/>
    <s v="CUS-BAR-018"/>
    <s v="R06"/>
    <s v="ST-BAR-01"/>
    <x v="10"/>
    <s v="P041"/>
    <n v="6"/>
    <n v="0.03"/>
    <n v="5645"/>
    <n v="6"/>
    <x v="4"/>
    <s v="Building Blocks"/>
    <s v="Kids &amp; Toys"/>
    <n v="840"/>
    <x v="248"/>
    <n v="460"/>
    <n v="2760"/>
    <n v="2280"/>
    <x v="21"/>
    <x v="10"/>
    <x v="5"/>
    <x v="9"/>
  </r>
  <r>
    <s v="ORD-00825"/>
    <x v="211"/>
    <s v="CUS-CTG-002"/>
    <s v="R02"/>
    <s v="ST-CTG-03"/>
    <x v="41"/>
    <s v="P005"/>
    <n v="2"/>
    <n v="0.1"/>
    <n v="11149"/>
    <n v="7"/>
    <x v="12"/>
    <s v="USB-C Hub"/>
    <s v="Electronics"/>
    <n v="4890"/>
    <x v="19"/>
    <n v="3330"/>
    <n v="6660"/>
    <n v="3120"/>
    <x v="123"/>
    <x v="41"/>
    <x v="7"/>
    <x v="16"/>
  </r>
  <r>
    <s v="ORD-00826"/>
    <x v="189"/>
    <s v="CUS-CTG-005"/>
    <s v="R02"/>
    <s v="ST-CTG-03"/>
    <x v="23"/>
    <s v="P033"/>
    <n v="3"/>
    <n v="0.03"/>
    <n v="10602"/>
    <n v="4"/>
    <x v="17"/>
    <s v="Badminton Racket"/>
    <s v="Sports"/>
    <n v="3100"/>
    <x v="254"/>
    <n v="1920"/>
    <n v="5760"/>
    <n v="3540"/>
    <x v="46"/>
    <x v="23"/>
    <x v="7"/>
    <x v="16"/>
  </r>
  <r>
    <s v="ORD-00827"/>
    <x v="351"/>
    <s v="CUS-RAJ-019"/>
    <s v="R04"/>
    <s v="ST-RAJ-04"/>
    <x v="30"/>
    <s v="P014"/>
    <n v="2"/>
    <n v="0.1"/>
    <n v="1901"/>
    <n v="4"/>
    <x v="6"/>
    <s v="Denim Jeans"/>
    <s v="Fashion"/>
    <n v="880"/>
    <x v="91"/>
    <n v="480"/>
    <n v="960"/>
    <n v="800"/>
    <x v="95"/>
    <x v="30"/>
    <x v="1"/>
    <x v="1"/>
  </r>
  <r>
    <s v="ORD-00828"/>
    <x v="419"/>
    <s v="CUS-KHL-023"/>
    <s v="R05"/>
    <s v="ST-KHL-01"/>
    <x v="16"/>
    <s v="P019"/>
    <n v="3"/>
    <n v="0.02"/>
    <n v="1439"/>
    <n v="4"/>
    <x v="17"/>
    <s v="Flour 2kg"/>
    <s v="Grocery"/>
    <n v="440"/>
    <x v="270"/>
    <n v="340"/>
    <n v="1020"/>
    <n v="300"/>
    <x v="69"/>
    <x v="16"/>
    <x v="6"/>
    <x v="24"/>
  </r>
  <r>
    <s v="ORD-00829"/>
    <x v="259"/>
    <s v="CUS-CTG-003"/>
    <s v="R02"/>
    <s v="ST-CTG-04"/>
    <x v="41"/>
    <s v="P004"/>
    <n v="2"/>
    <n v="0.15"/>
    <n v="8824"/>
    <n v="5"/>
    <x v="5"/>
    <s v="Smart Watch"/>
    <s v="Electronics"/>
    <n v="3870"/>
    <x v="118"/>
    <n v="2630"/>
    <n v="5260"/>
    <n v="2480"/>
    <x v="27"/>
    <x v="41"/>
    <x v="7"/>
    <x v="33"/>
  </r>
  <r>
    <s v="ORD-00830"/>
    <x v="288"/>
    <s v="CUS-RAJ-019"/>
    <s v="R04"/>
    <s v="ST-RAJ-05"/>
    <x v="40"/>
    <s v="P040"/>
    <n v="4"/>
    <n v="0.02"/>
    <n v="3283"/>
    <n v="5"/>
    <x v="3"/>
    <s v="Sticky Notes"/>
    <s v="Stationery"/>
    <n v="760"/>
    <x v="271"/>
    <n v="380"/>
    <n v="1520"/>
    <n v="1520"/>
    <x v="95"/>
    <x v="40"/>
    <x v="1"/>
    <x v="38"/>
  </r>
  <r>
    <s v="ORD-00831"/>
    <x v="319"/>
    <s v="CUS-CTG-005"/>
    <s v="R02"/>
    <s v="ST-CTG-02"/>
    <x v="15"/>
    <s v="P009"/>
    <n v="7"/>
    <n v="0.1"/>
    <n v="36389"/>
    <n v="7"/>
    <x v="12"/>
    <s v="Steam Iron"/>
    <s v="Home Appliance"/>
    <n v="4560"/>
    <x v="236"/>
    <n v="3190"/>
    <n v="22330"/>
    <n v="9590"/>
    <x v="46"/>
    <x v="15"/>
    <x v="7"/>
    <x v="22"/>
  </r>
  <r>
    <s v="ORD-00832"/>
    <x v="290"/>
    <s v="CUS-KHL-014"/>
    <s v="R05"/>
    <s v="ST-KHL-02"/>
    <x v="13"/>
    <s v="P007"/>
    <n v="1"/>
    <n v="0.08"/>
    <n v="8099"/>
    <n v="4"/>
    <x v="6"/>
    <s v="Rice Cooker"/>
    <s v="Home Appliance"/>
    <n v="7430"/>
    <x v="8"/>
    <n v="5200"/>
    <n v="5200"/>
    <n v="2230"/>
    <x v="43"/>
    <x v="13"/>
    <x v="6"/>
    <x v="14"/>
  </r>
  <r>
    <s v="ORD-00833"/>
    <x v="280"/>
    <s v="CUS-RAJ-001"/>
    <s v="R04"/>
    <s v="ST-RAJ-04"/>
    <x v="46"/>
    <s v="P005"/>
    <n v="3"/>
    <n v="0.15"/>
    <n v="15844"/>
    <n v="3"/>
    <x v="17"/>
    <s v="USB-C Hub"/>
    <s v="Electronics"/>
    <n v="4890"/>
    <x v="27"/>
    <n v="3330"/>
    <n v="9990"/>
    <n v="4680"/>
    <x v="102"/>
    <x v="46"/>
    <x v="1"/>
    <x v="1"/>
  </r>
  <r>
    <s v="ORD-00834"/>
    <x v="343"/>
    <s v="CUS-CTG-012"/>
    <s v="R02"/>
    <s v="ST-CTG-04"/>
    <x v="23"/>
    <s v="P003"/>
    <n v="2"/>
    <n v="0.12"/>
    <n v="6475"/>
    <n v="6"/>
    <x v="28"/>
    <s v="Power Bank"/>
    <s v="Electronics"/>
    <n v="2840"/>
    <x v="54"/>
    <n v="1930"/>
    <n v="3860"/>
    <n v="1820"/>
    <x v="1"/>
    <x v="23"/>
    <x v="7"/>
    <x v="33"/>
  </r>
  <r>
    <s v="ORD-00835"/>
    <x v="420"/>
    <s v="CUS-DHA-015"/>
    <s v="R01"/>
    <s v="ST-DHA-03"/>
    <x v="14"/>
    <s v="P002"/>
    <n v="4"/>
    <n v="0.15"/>
    <n v="14162"/>
    <n v="2"/>
    <x v="10"/>
    <s v="Wireless Mouse"/>
    <s v="Electronics"/>
    <n v="3340"/>
    <x v="83"/>
    <n v="2270"/>
    <n v="9080"/>
    <n v="4280"/>
    <x v="75"/>
    <x v="14"/>
    <x v="4"/>
    <x v="5"/>
  </r>
  <r>
    <s v="ORD-00836"/>
    <x v="421"/>
    <s v="CUS-SYL-020"/>
    <s v="R03"/>
    <s v="ST-SYL-03"/>
    <x v="5"/>
    <s v="P022"/>
    <n v="1"/>
    <n v="0.05"/>
    <n v="1776"/>
    <n v="4"/>
    <x v="20"/>
    <s v="Shampoo 375ml"/>
    <s v="Beauty &amp; Personal Care"/>
    <n v="1660"/>
    <x v="272"/>
    <n v="960"/>
    <n v="960"/>
    <n v="700"/>
    <x v="33"/>
    <x v="5"/>
    <x v="3"/>
    <x v="23"/>
  </r>
  <r>
    <s v="ORD-00837"/>
    <x v="311"/>
    <s v="CUS-CTG-008"/>
    <s v="R02"/>
    <s v="ST-CTG-01"/>
    <x v="41"/>
    <s v="P043"/>
    <n v="1"/>
    <n v="0.12"/>
    <n v="2508"/>
    <n v="6"/>
    <x v="28"/>
    <s v="Puzzle Board"/>
    <s v="Kids &amp; Toys"/>
    <n v="2200"/>
    <x v="23"/>
    <n v="1210"/>
    <n v="1210"/>
    <n v="990"/>
    <x v="18"/>
    <x v="41"/>
    <x v="7"/>
    <x v="37"/>
  </r>
  <r>
    <s v="ORD-00838"/>
    <x v="325"/>
    <s v="CUS-RAN-013"/>
    <s v="R07"/>
    <s v="ST-RAN-04"/>
    <x v="7"/>
    <s v="P004"/>
    <n v="2"/>
    <n v="0.1"/>
    <n v="8901"/>
    <n v="7"/>
    <x v="12"/>
    <s v="Smart Watch"/>
    <s v="Electronics"/>
    <n v="3870"/>
    <x v="118"/>
    <n v="2630"/>
    <n v="5260"/>
    <n v="2480"/>
    <x v="41"/>
    <x v="7"/>
    <x v="0"/>
    <x v="13"/>
  </r>
  <r>
    <s v="ORD-00839"/>
    <x v="422"/>
    <s v="CUS-RAJ-012"/>
    <s v="R04"/>
    <s v="ST-RAJ-03"/>
    <x v="30"/>
    <s v="P021"/>
    <n v="1"/>
    <n v="0.12"/>
    <n v="1382"/>
    <n v="6"/>
    <x v="28"/>
    <s v="Face Wash"/>
    <s v="Beauty &amp; Personal Care"/>
    <n v="1280"/>
    <x v="177"/>
    <n v="740"/>
    <n v="740"/>
    <n v="540"/>
    <x v="142"/>
    <x v="30"/>
    <x v="1"/>
    <x v="18"/>
  </r>
  <r>
    <s v="ORD-00840"/>
    <x v="106"/>
    <s v="CUS-KHL-023"/>
    <s v="R05"/>
    <s v="ST-KHL-02"/>
    <x v="36"/>
    <s v="P007"/>
    <n v="2"/>
    <n v="0.15"/>
    <n v="16197"/>
    <n v="4"/>
    <x v="3"/>
    <s v="Rice Cooker"/>
    <s v="Home Appliance"/>
    <n v="7430"/>
    <x v="238"/>
    <n v="5200"/>
    <n v="10400"/>
    <n v="4460"/>
    <x v="69"/>
    <x v="36"/>
    <x v="6"/>
    <x v="14"/>
  </r>
  <r>
    <s v="ORD-00841"/>
    <x v="13"/>
    <s v="CUS-SYL-001"/>
    <s v="R03"/>
    <s v="ST-SYL-04"/>
    <x v="32"/>
    <s v="P008"/>
    <n v="8"/>
    <n v="0.08"/>
    <n v="20801"/>
    <n v="6"/>
    <x v="16"/>
    <s v="Blender Machine"/>
    <s v="Home Appliance"/>
    <n v="2430"/>
    <x v="82"/>
    <n v="1700"/>
    <n v="13600"/>
    <n v="5840"/>
    <x v="82"/>
    <x v="32"/>
    <x v="3"/>
    <x v="21"/>
  </r>
  <r>
    <s v="ORD-00842"/>
    <x v="340"/>
    <s v="CUS-DHA-020"/>
    <s v="R01"/>
    <s v="ST-DHA-03"/>
    <x v="6"/>
    <s v="P020"/>
    <n v="5"/>
    <n v="0.05"/>
    <n v="11342"/>
    <n v="5"/>
    <x v="19"/>
    <s v="Tea Pack 500g"/>
    <s v="Grocery"/>
    <n v="2140"/>
    <x v="116"/>
    <n v="1670"/>
    <n v="8350"/>
    <n v="2350"/>
    <x v="53"/>
    <x v="6"/>
    <x v="4"/>
    <x v="5"/>
  </r>
  <r>
    <s v="ORD-00843"/>
    <x v="111"/>
    <s v="CUS-CTG-002"/>
    <s v="R02"/>
    <s v="ST-CTG-01"/>
    <x v="18"/>
    <s v="P027"/>
    <n v="5"/>
    <n v="0.12"/>
    <n v="6897"/>
    <n v="2"/>
    <x v="24"/>
    <s v="Formal Shoe"/>
    <s v="Footwear"/>
    <n v="1210"/>
    <x v="85"/>
    <n v="730"/>
    <n v="3650"/>
    <n v="2400"/>
    <x v="123"/>
    <x v="18"/>
    <x v="7"/>
    <x v="37"/>
  </r>
  <r>
    <s v="ORD-00844"/>
    <x v="274"/>
    <s v="CUS-CTG-004"/>
    <s v="R02"/>
    <s v="ST-CTG-03"/>
    <x v="37"/>
    <s v="P008"/>
    <n v="4"/>
    <n v="0.18"/>
    <n v="11081"/>
    <n v="7"/>
    <x v="23"/>
    <s v="Blender Machine"/>
    <s v="Home Appliance"/>
    <n v="2430"/>
    <x v="81"/>
    <n v="1700"/>
    <n v="6800"/>
    <n v="2920"/>
    <x v="57"/>
    <x v="37"/>
    <x v="7"/>
    <x v="16"/>
  </r>
  <r>
    <s v="ORD-00845"/>
    <x v="392"/>
    <s v="CUS-KHL-022"/>
    <s v="R05"/>
    <s v="ST-KHL-04"/>
    <x v="16"/>
    <s v="P009"/>
    <n v="5"/>
    <n v="0.12"/>
    <n v="24852"/>
    <n v="4"/>
    <x v="6"/>
    <s v="Steam Iron"/>
    <s v="Home Appliance"/>
    <n v="4560"/>
    <x v="273"/>
    <n v="3190"/>
    <n v="15950"/>
    <n v="6850"/>
    <x v="24"/>
    <x v="16"/>
    <x v="6"/>
    <x v="19"/>
  </r>
  <r>
    <s v="ORD-00846"/>
    <x v="266"/>
    <s v="CUS-MYM-004"/>
    <s v="R08"/>
    <s v="ST-MYM-03"/>
    <x v="43"/>
    <s v="P016"/>
    <n v="1"/>
    <n v="0.05"/>
    <n v="1199"/>
    <n v="1"/>
    <x v="7"/>
    <s v="Premium Rice 5kg"/>
    <s v="Grocery"/>
    <n v="1110"/>
    <x v="139"/>
    <n v="870"/>
    <n v="870"/>
    <n v="240"/>
    <x v="92"/>
    <x v="43"/>
    <x v="2"/>
    <x v="10"/>
  </r>
  <r>
    <s v="ORD-00847"/>
    <x v="360"/>
    <s v="CUS-RAJ-022"/>
    <s v="R04"/>
    <s v="ST-RAJ-02"/>
    <x v="26"/>
    <s v="P014"/>
    <n v="3"/>
    <n v="0.1"/>
    <n v="2851"/>
    <n v="2"/>
    <x v="24"/>
    <s v="Denim Jeans"/>
    <s v="Fashion"/>
    <n v="880"/>
    <x v="12"/>
    <n v="480"/>
    <n v="1440"/>
    <n v="1200"/>
    <x v="62"/>
    <x v="26"/>
    <x v="1"/>
    <x v="2"/>
  </r>
  <r>
    <s v="ORD-00848"/>
    <x v="232"/>
    <s v="CUS-RAJ-013"/>
    <s v="R04"/>
    <s v="ST-RAJ-01"/>
    <x v="26"/>
    <s v="P042"/>
    <n v="12"/>
    <n v="0.05"/>
    <n v="23587"/>
    <n v="6"/>
    <x v="4"/>
    <s v="Toy Car Set"/>
    <s v="Kids &amp; Toys"/>
    <n v="1820"/>
    <x v="274"/>
    <n v="1000"/>
    <n v="12000"/>
    <n v="9840"/>
    <x v="130"/>
    <x v="26"/>
    <x v="1"/>
    <x v="36"/>
  </r>
  <r>
    <s v="ORD-00849"/>
    <x v="379"/>
    <s v="CUS-KHL-022"/>
    <s v="R05"/>
    <s v="ST-KHL-03"/>
    <x v="16"/>
    <s v="P010"/>
    <n v="9"/>
    <n v="0.12"/>
    <n v="30509"/>
    <n v="6"/>
    <x v="28"/>
    <s v="Table Fan"/>
    <s v="Home Appliance"/>
    <n v="3110"/>
    <x v="72"/>
    <n v="2180"/>
    <n v="19620"/>
    <n v="8370"/>
    <x v="24"/>
    <x v="16"/>
    <x v="6"/>
    <x v="17"/>
  </r>
  <r>
    <s v="ORD-00850"/>
    <x v="172"/>
    <s v="CUS-BAR-020"/>
    <s v="R06"/>
    <s v="ST-BAR-01"/>
    <x v="22"/>
    <s v="P036"/>
    <n v="2"/>
    <n v="0.05"/>
    <n v="896"/>
    <n v="7"/>
    <x v="11"/>
    <s v="Notebook Pack"/>
    <s v="Stationery"/>
    <n v="400"/>
    <x v="21"/>
    <n v="200"/>
    <n v="400"/>
    <n v="400"/>
    <x v="12"/>
    <x v="22"/>
    <x v="5"/>
    <x v="9"/>
  </r>
  <r>
    <s v="ORD-00851"/>
    <x v="207"/>
    <s v="CUS-SYL-015"/>
    <s v="R03"/>
    <s v="ST-SYL-02"/>
    <x v="5"/>
    <s v="P048"/>
    <n v="2"/>
    <n v="7.0000000000000007E-2"/>
    <n v="11385"/>
    <n v="6"/>
    <x v="16"/>
    <s v="Shoe Rack"/>
    <s v="Furniture"/>
    <n v="5320"/>
    <x v="146"/>
    <n v="3830"/>
    <n v="7660"/>
    <n v="2980"/>
    <x v="74"/>
    <x v="5"/>
    <x v="3"/>
    <x v="32"/>
  </r>
  <r>
    <s v="ORD-00852"/>
    <x v="41"/>
    <s v="CUS-MYM-002"/>
    <s v="R08"/>
    <s v="ST-MYM-02"/>
    <x v="3"/>
    <s v="P038"/>
    <n v="1"/>
    <n v="0.03"/>
    <n v="367"/>
    <n v="5"/>
    <x v="19"/>
    <s v="Office File Set"/>
    <s v="Stationery"/>
    <n v="340"/>
    <x v="214"/>
    <n v="170"/>
    <n v="170"/>
    <n v="170"/>
    <x v="5"/>
    <x v="3"/>
    <x v="2"/>
    <x v="20"/>
  </r>
  <r>
    <s v="ORD-00853"/>
    <x v="185"/>
    <s v="CUS-DHA-014"/>
    <s v="R01"/>
    <s v="ST-DHA-03"/>
    <x v="35"/>
    <s v="P039"/>
    <n v="2"/>
    <n v="0.03"/>
    <n v="2205"/>
    <n v="4"/>
    <x v="17"/>
    <s v="Marker Set"/>
    <s v="Stationery"/>
    <n v="1040"/>
    <x v="10"/>
    <n v="520"/>
    <n v="1040"/>
    <n v="1040"/>
    <x v="23"/>
    <x v="35"/>
    <x v="4"/>
    <x v="5"/>
  </r>
  <r>
    <s v="ORD-00854"/>
    <x v="423"/>
    <s v="CUS-SYL-003"/>
    <s v="R03"/>
    <s v="ST-SYL-03"/>
    <x v="20"/>
    <s v="P050"/>
    <n v="2"/>
    <n v="0.03"/>
    <n v="12562"/>
    <n v="3"/>
    <x v="10"/>
    <s v="Bedside Table"/>
    <s v="Furniture"/>
    <n v="5870"/>
    <x v="59"/>
    <n v="4230"/>
    <n v="8460"/>
    <n v="3280"/>
    <x v="36"/>
    <x v="20"/>
    <x v="3"/>
    <x v="23"/>
  </r>
  <r>
    <s v="ORD-00855"/>
    <x v="397"/>
    <s v="CUS-KHL-008"/>
    <s v="R05"/>
    <s v="ST-KHL-01"/>
    <x v="24"/>
    <s v="P046"/>
    <n v="5"/>
    <n v="0.1"/>
    <n v="23871"/>
    <n v="1"/>
    <x v="13"/>
    <s v="Office Chair"/>
    <s v="Furniture"/>
    <n v="4380"/>
    <x v="275"/>
    <n v="3150"/>
    <n v="15750"/>
    <n v="6150"/>
    <x v="91"/>
    <x v="24"/>
    <x v="6"/>
    <x v="24"/>
  </r>
  <r>
    <s v="ORD-00856"/>
    <x v="108"/>
    <s v="CUS-CTG-009"/>
    <s v="R02"/>
    <s v="ST-CTG-03"/>
    <x v="18"/>
    <s v="P007"/>
    <n v="4"/>
    <n v="0.18"/>
    <n v="33881"/>
    <n v="9"/>
    <x v="14"/>
    <s v="Rice Cooker"/>
    <s v="Home Appliance"/>
    <n v="7430"/>
    <x v="122"/>
    <n v="5200"/>
    <n v="20800"/>
    <n v="8920"/>
    <x v="137"/>
    <x v="18"/>
    <x v="7"/>
    <x v="16"/>
  </r>
  <r>
    <s v="ORD-00857"/>
    <x v="424"/>
    <s v="CUS-SYL-022"/>
    <s v="R03"/>
    <s v="ST-SYL-02"/>
    <x v="38"/>
    <s v="P003"/>
    <n v="2"/>
    <n v="0.08"/>
    <n v="6078"/>
    <n v="2"/>
    <x v="18"/>
    <s v="Power Bank"/>
    <s v="Electronics"/>
    <n v="2840"/>
    <x v="54"/>
    <n v="1930"/>
    <n v="3860"/>
    <n v="1820"/>
    <x v="21"/>
    <x v="38"/>
    <x v="3"/>
    <x v="32"/>
  </r>
  <r>
    <s v="ORD-00858"/>
    <x v="162"/>
    <s v="CUS-MYM-018"/>
    <s v="R08"/>
    <s v="ST-MYM-02"/>
    <x v="19"/>
    <s v="P035"/>
    <n v="3"/>
    <n v="0.1"/>
    <n v="3596"/>
    <n v="8"/>
    <x v="27"/>
    <s v="Dumbbell Set"/>
    <s v="Sports"/>
    <n v="1110"/>
    <x v="89"/>
    <n v="690"/>
    <n v="2070"/>
    <n v="1260"/>
    <x v="11"/>
    <x v="19"/>
    <x v="2"/>
    <x v="20"/>
  </r>
  <r>
    <s v="ORD-00859"/>
    <x v="45"/>
    <s v="CUS-BAR-017"/>
    <s v="R06"/>
    <s v="ST-BAR-03"/>
    <x v="22"/>
    <s v="P008"/>
    <n v="3"/>
    <n v="0.15"/>
    <n v="8165"/>
    <n v="9"/>
    <x v="0"/>
    <s v="Blender Machine"/>
    <s v="Home Appliance"/>
    <n v="2430"/>
    <x v="49"/>
    <n v="1700"/>
    <n v="5100"/>
    <n v="2190"/>
    <x v="139"/>
    <x v="22"/>
    <x v="5"/>
    <x v="27"/>
  </r>
  <r>
    <s v="ORD-00860"/>
    <x v="419"/>
    <s v="CUS-RAN-003"/>
    <s v="R07"/>
    <s v="ST-RAN-02"/>
    <x v="21"/>
    <s v="P044"/>
    <n v="3"/>
    <n v="7.0000000000000007E-2"/>
    <n v="7762"/>
    <n v="6"/>
    <x v="16"/>
    <s v="Color Pencil Set"/>
    <s v="Kids &amp; Toys"/>
    <n v="2250"/>
    <x v="102"/>
    <n v="1240"/>
    <n v="3720"/>
    <n v="3030"/>
    <x v="15"/>
    <x v="21"/>
    <x v="0"/>
    <x v="6"/>
  </r>
  <r>
    <s v="ORD-00861"/>
    <x v="89"/>
    <s v="CUS-SYL-020"/>
    <s v="R03"/>
    <s v="ST-SYL-05"/>
    <x v="5"/>
    <s v="P042"/>
    <n v="4"/>
    <n v="0.1"/>
    <n v="7790"/>
    <n v="5"/>
    <x v="29"/>
    <s v="Toy Car Set"/>
    <s v="Kids &amp; Toys"/>
    <n v="1820"/>
    <x v="50"/>
    <n v="1000"/>
    <n v="4000"/>
    <n v="3280"/>
    <x v="33"/>
    <x v="5"/>
    <x v="3"/>
    <x v="4"/>
  </r>
  <r>
    <s v="ORD-00862"/>
    <x v="2"/>
    <s v="CUS-MYM-025"/>
    <s v="R08"/>
    <s v="ST-MYM-05"/>
    <x v="19"/>
    <s v="P039"/>
    <n v="3"/>
    <n v="0"/>
    <n v="3370"/>
    <n v="6"/>
    <x v="5"/>
    <s v="Marker Set"/>
    <s v="Stationery"/>
    <n v="1040"/>
    <x v="173"/>
    <n v="520"/>
    <n v="1560"/>
    <n v="1560"/>
    <x v="23"/>
    <x v="19"/>
    <x v="2"/>
    <x v="28"/>
  </r>
  <r>
    <s v="ORD-00863"/>
    <x v="235"/>
    <s v="CUS-BAR-020"/>
    <s v="R06"/>
    <s v="ST-BAR-01"/>
    <x v="33"/>
    <s v="P019"/>
    <n v="5"/>
    <n v="0"/>
    <n v="2464"/>
    <n v="4"/>
    <x v="17"/>
    <s v="Flour 2kg"/>
    <s v="Grocery"/>
    <n v="440"/>
    <x v="23"/>
    <n v="340"/>
    <n v="1700"/>
    <n v="500"/>
    <x v="12"/>
    <x v="33"/>
    <x v="5"/>
    <x v="9"/>
  </r>
  <r>
    <s v="ORD-00864"/>
    <x v="283"/>
    <s v="CUS-MYM-005"/>
    <s v="R08"/>
    <s v="ST-MYM-02"/>
    <x v="43"/>
    <s v="P025"/>
    <n v="2"/>
    <n v="7.0000000000000007E-2"/>
    <n v="2722"/>
    <n v="2"/>
    <x v="18"/>
    <s v="Perfume Spray"/>
    <s v="Beauty &amp; Personal Care"/>
    <n v="1260"/>
    <x v="17"/>
    <n v="730"/>
    <n v="1460"/>
    <n v="1060"/>
    <x v="3"/>
    <x v="43"/>
    <x v="2"/>
    <x v="20"/>
  </r>
  <r>
    <s v="ORD-00865"/>
    <x v="32"/>
    <s v="CUS-DHA-016"/>
    <s v="R01"/>
    <s v="ST-DHA-05"/>
    <x v="35"/>
    <s v="P004"/>
    <n v="3"/>
    <n v="0.08"/>
    <n v="12307"/>
    <n v="1"/>
    <x v="13"/>
    <s v="Smart Watch"/>
    <s v="Electronics"/>
    <n v="3870"/>
    <x v="39"/>
    <n v="2630"/>
    <n v="7890"/>
    <n v="3720"/>
    <x v="4"/>
    <x v="35"/>
    <x v="4"/>
    <x v="15"/>
  </r>
  <r>
    <s v="ORD-00866"/>
    <x v="263"/>
    <s v="CUS-CTG-016"/>
    <s v="R02"/>
    <s v="ST-CTG-01"/>
    <x v="18"/>
    <s v="P011"/>
    <n v="6"/>
    <n v="7.0000000000000007E-2"/>
    <n v="12791"/>
    <n v="5"/>
    <x v="29"/>
    <s v="Cotton T-Shirt"/>
    <s v="Fashion"/>
    <n v="1870"/>
    <x v="228"/>
    <n v="1030"/>
    <n v="6180"/>
    <n v="5040"/>
    <x v="115"/>
    <x v="18"/>
    <x v="7"/>
    <x v="37"/>
  </r>
  <r>
    <s v="ORD-00867"/>
    <x v="425"/>
    <s v="CUS-RAN-016"/>
    <s v="R07"/>
    <s v="ST-RAN-02"/>
    <x v="27"/>
    <s v="P039"/>
    <n v="5"/>
    <n v="0.05"/>
    <n v="5980"/>
    <n v="8"/>
    <x v="30"/>
    <s v="Marker Set"/>
    <s v="Stationery"/>
    <n v="1040"/>
    <x v="276"/>
    <n v="520"/>
    <n v="2600"/>
    <n v="2600"/>
    <x v="0"/>
    <x v="27"/>
    <x v="0"/>
    <x v="6"/>
  </r>
  <r>
    <s v="ORD-00868"/>
    <x v="426"/>
    <s v="CUS-RAN-005"/>
    <s v="R07"/>
    <s v="ST-RAN-01"/>
    <x v="27"/>
    <s v="P003"/>
    <n v="1"/>
    <n v="0.18"/>
    <n v="3266"/>
    <n v="4"/>
    <x v="19"/>
    <s v="Power Bank"/>
    <s v="Electronics"/>
    <n v="2840"/>
    <x v="53"/>
    <n v="1930"/>
    <n v="1930"/>
    <n v="910"/>
    <x v="46"/>
    <x v="27"/>
    <x v="0"/>
    <x v="0"/>
  </r>
  <r>
    <s v="ORD-00869"/>
    <x v="9"/>
    <s v="CUS-RAJ-016"/>
    <s v="R04"/>
    <s v="ST-RAJ-04"/>
    <x v="26"/>
    <s v="P006"/>
    <n v="9"/>
    <n v="0.12"/>
    <n v="69984"/>
    <n v="5"/>
    <x v="5"/>
    <s v="Electric Kettle"/>
    <s v="Home Appliance"/>
    <n v="7200"/>
    <x v="277"/>
    <n v="5040"/>
    <n v="45360"/>
    <n v="19440"/>
    <x v="30"/>
    <x v="26"/>
    <x v="1"/>
    <x v="1"/>
  </r>
  <r>
    <s v="ORD-00870"/>
    <x v="156"/>
    <s v="CUS-CTG-015"/>
    <s v="R02"/>
    <s v="ST-CTG-04"/>
    <x v="39"/>
    <s v="P003"/>
    <n v="2"/>
    <n v="0.18"/>
    <n v="6475"/>
    <n v="3"/>
    <x v="20"/>
    <s v="Power Bank"/>
    <s v="Electronics"/>
    <n v="2840"/>
    <x v="54"/>
    <n v="1930"/>
    <n v="3860"/>
    <n v="1820"/>
    <x v="97"/>
    <x v="39"/>
    <x v="7"/>
    <x v="33"/>
  </r>
  <r>
    <s v="ORD-00871"/>
    <x v="257"/>
    <s v="CUS-RAN-001"/>
    <s v="R07"/>
    <s v="ST-RAN-05"/>
    <x v="42"/>
    <s v="P001"/>
    <n v="2"/>
    <n v="0.1"/>
    <n v="7452"/>
    <n v="3"/>
    <x v="21"/>
    <s v="Bluetooth Speaker"/>
    <s v="Electronics"/>
    <n v="3240"/>
    <x v="95"/>
    <n v="2200"/>
    <n v="4400"/>
    <n v="2080"/>
    <x v="141"/>
    <x v="42"/>
    <x v="0"/>
    <x v="39"/>
  </r>
  <r>
    <s v="ORD-00872"/>
    <x v="328"/>
    <s v="CUS-KHL-001"/>
    <s v="R05"/>
    <s v="ST-KHL-02"/>
    <x v="16"/>
    <s v="P015"/>
    <n v="1"/>
    <n v="0.12"/>
    <n v="2856"/>
    <n v="4"/>
    <x v="6"/>
    <s v="Leather Belt"/>
    <s v="Fashion"/>
    <n v="2620"/>
    <x v="255"/>
    <n v="1440"/>
    <n v="1440"/>
    <n v="1180"/>
    <x v="112"/>
    <x v="16"/>
    <x v="6"/>
    <x v="14"/>
  </r>
  <r>
    <s v="ORD-00873"/>
    <x v="282"/>
    <s v="CUS-RAN-017"/>
    <s v="R07"/>
    <s v="ST-RAN-01"/>
    <x v="27"/>
    <s v="P026"/>
    <n v="5"/>
    <n v="7.0000000000000007E-2"/>
    <n v="20182"/>
    <n v="3"/>
    <x v="25"/>
    <s v="Running Shoe"/>
    <s v="Footwear"/>
    <n v="3510"/>
    <x v="278"/>
    <n v="2110"/>
    <n v="10550"/>
    <n v="7000"/>
    <x v="0"/>
    <x v="27"/>
    <x v="0"/>
    <x v="0"/>
  </r>
  <r>
    <s v="ORD-00874"/>
    <x v="384"/>
    <s v="CUS-SYL-009"/>
    <s v="R03"/>
    <s v="ST-SYL-03"/>
    <x v="32"/>
    <s v="P002"/>
    <n v="2"/>
    <n v="0.15"/>
    <n v="7148"/>
    <n v="4"/>
    <x v="3"/>
    <s v="Wireless Mouse"/>
    <s v="Electronics"/>
    <n v="3340"/>
    <x v="15"/>
    <n v="2270"/>
    <n v="4540"/>
    <n v="2140"/>
    <x v="138"/>
    <x v="32"/>
    <x v="3"/>
    <x v="23"/>
  </r>
  <r>
    <s v="ORD-00875"/>
    <x v="213"/>
    <s v="CUS-SYL-019"/>
    <s v="R03"/>
    <s v="ST-SYL-05"/>
    <x v="25"/>
    <s v="P016"/>
    <n v="4"/>
    <n v="0.03"/>
    <n v="4751"/>
    <n v="1"/>
    <x v="7"/>
    <s v="Premium Rice 5kg"/>
    <s v="Grocery"/>
    <n v="1110"/>
    <x v="52"/>
    <n v="870"/>
    <n v="3480"/>
    <n v="960"/>
    <x v="143"/>
    <x v="25"/>
    <x v="3"/>
    <x v="4"/>
  </r>
  <r>
    <s v="ORD-00876"/>
    <x v="176"/>
    <s v="CUS-CTG-002"/>
    <s v="R02"/>
    <s v="ST-CTG-01"/>
    <x v="37"/>
    <s v="P003"/>
    <n v="4"/>
    <n v="0.15"/>
    <n v="12950"/>
    <n v="3"/>
    <x v="17"/>
    <s v="Power Bank"/>
    <s v="Electronics"/>
    <n v="2840"/>
    <x v="46"/>
    <n v="1930"/>
    <n v="7720"/>
    <n v="3640"/>
    <x v="123"/>
    <x v="37"/>
    <x v="7"/>
    <x v="37"/>
  </r>
  <r>
    <s v="ORD-00877"/>
    <x v="64"/>
    <s v="CUS-BAR-025"/>
    <s v="R06"/>
    <s v="ST-BAR-02"/>
    <x v="10"/>
    <s v="P036"/>
    <n v="6"/>
    <n v="0.05"/>
    <n v="2688"/>
    <n v="5"/>
    <x v="19"/>
    <s v="Notebook Pack"/>
    <s v="Stationery"/>
    <n v="400"/>
    <x v="208"/>
    <n v="200"/>
    <n v="1200"/>
    <n v="1200"/>
    <x v="8"/>
    <x v="10"/>
    <x v="5"/>
    <x v="11"/>
  </r>
  <r>
    <s v="ORD-00878"/>
    <x v="427"/>
    <s v="CUS-CTG-002"/>
    <s v="R02"/>
    <s v="ST-CTG-05"/>
    <x v="15"/>
    <s v="P003"/>
    <n v="3"/>
    <n v="0.18"/>
    <n v="9713"/>
    <n v="3"/>
    <x v="20"/>
    <s v="Power Bank"/>
    <s v="Electronics"/>
    <n v="2840"/>
    <x v="3"/>
    <n v="1930"/>
    <n v="5790"/>
    <n v="2730"/>
    <x v="123"/>
    <x v="15"/>
    <x v="7"/>
    <x v="31"/>
  </r>
  <r>
    <s v="ORD-00879"/>
    <x v="139"/>
    <s v="CUS-DHA-006"/>
    <s v="R01"/>
    <s v="ST-DHA-03"/>
    <x v="44"/>
    <s v="P029"/>
    <n v="1"/>
    <n v="0.12"/>
    <n v="2841"/>
    <n v="1"/>
    <x v="1"/>
    <s v="Kids Sneaker"/>
    <s v="Footwear"/>
    <n v="2680"/>
    <x v="267"/>
    <n v="1610"/>
    <n v="1610"/>
    <n v="1070"/>
    <x v="17"/>
    <x v="44"/>
    <x v="4"/>
    <x v="5"/>
  </r>
  <r>
    <s v="ORD-00880"/>
    <x v="326"/>
    <s v="CUS-MYM-015"/>
    <s v="R08"/>
    <s v="ST-MYM-03"/>
    <x v="11"/>
    <s v="P004"/>
    <n v="2"/>
    <n v="0.18"/>
    <n v="8359"/>
    <n v="4"/>
    <x v="19"/>
    <s v="Smart Watch"/>
    <s v="Electronics"/>
    <n v="3870"/>
    <x v="118"/>
    <n v="2630"/>
    <n v="5260"/>
    <n v="2480"/>
    <x v="126"/>
    <x v="11"/>
    <x v="2"/>
    <x v="10"/>
  </r>
  <r>
    <s v="ORD-00881"/>
    <x v="176"/>
    <s v="CUS-RAJ-003"/>
    <s v="R04"/>
    <s v="ST-RAJ-05"/>
    <x v="1"/>
    <s v="P024"/>
    <n v="1"/>
    <n v="0.03"/>
    <n v="1523"/>
    <n v="3"/>
    <x v="10"/>
    <s v="Toothpaste Twin Pack"/>
    <s v="Beauty &amp; Personal Care"/>
    <n v="1410"/>
    <x v="257"/>
    <n v="820"/>
    <n v="820"/>
    <n v="590"/>
    <x v="88"/>
    <x v="1"/>
    <x v="1"/>
    <x v="38"/>
  </r>
  <r>
    <s v="ORD-00882"/>
    <x v="428"/>
    <s v="CUS-CTG-011"/>
    <s v="R02"/>
    <s v="ST-CTG-02"/>
    <x v="37"/>
    <s v="P031"/>
    <n v="1"/>
    <n v="0.05"/>
    <n v="3010"/>
    <n v="6"/>
    <x v="4"/>
    <s v="Cricket Bat"/>
    <s v="Sports"/>
    <n v="2640"/>
    <x v="12"/>
    <n v="1640"/>
    <n v="1640"/>
    <n v="1000"/>
    <x v="61"/>
    <x v="37"/>
    <x v="7"/>
    <x v="22"/>
  </r>
  <r>
    <s v="ORD-00883"/>
    <x v="197"/>
    <s v="CUS-MYM-017"/>
    <s v="R08"/>
    <s v="ST-MYM-03"/>
    <x v="3"/>
    <s v="P023"/>
    <n v="5"/>
    <n v="0.1"/>
    <n v="6264"/>
    <n v="2"/>
    <x v="24"/>
    <s v="Body Lotion"/>
    <s v="Beauty &amp; Personal Care"/>
    <n v="1160"/>
    <x v="197"/>
    <n v="670"/>
    <n v="3350"/>
    <n v="2450"/>
    <x v="106"/>
    <x v="3"/>
    <x v="2"/>
    <x v="10"/>
  </r>
  <r>
    <s v="ORD-00884"/>
    <x v="47"/>
    <s v="CUS-CTG-019"/>
    <s v="R02"/>
    <s v="ST-CTG-01"/>
    <x v="23"/>
    <s v="P035"/>
    <n v="1"/>
    <n v="0.1"/>
    <n v="1265"/>
    <n v="6"/>
    <x v="16"/>
    <s v="Dumbbell Set"/>
    <s v="Sports"/>
    <n v="1110"/>
    <x v="139"/>
    <n v="690"/>
    <n v="690"/>
    <n v="420"/>
    <x v="110"/>
    <x v="23"/>
    <x v="7"/>
    <x v="37"/>
  </r>
  <r>
    <s v="ORD-00885"/>
    <x v="90"/>
    <s v="CUS-RAJ-002"/>
    <s v="R04"/>
    <s v="ST-RAJ-05"/>
    <x v="40"/>
    <s v="P007"/>
    <n v="5"/>
    <n v="0.12"/>
    <n v="40122"/>
    <n v="7"/>
    <x v="12"/>
    <s v="Rice Cooker"/>
    <s v="Home Appliance"/>
    <n v="7430"/>
    <x v="154"/>
    <n v="5200"/>
    <n v="26000"/>
    <n v="11150"/>
    <x v="34"/>
    <x v="40"/>
    <x v="1"/>
    <x v="38"/>
  </r>
  <r>
    <s v="ORD-00886"/>
    <x v="285"/>
    <s v="CUS-BAR-003"/>
    <s v="R06"/>
    <s v="ST-BAR-02"/>
    <x v="33"/>
    <s v="P002"/>
    <n v="5"/>
    <n v="0.18"/>
    <n v="18704"/>
    <n v="4"/>
    <x v="19"/>
    <s v="Wireless Mouse"/>
    <s v="Electronics"/>
    <n v="3340"/>
    <x v="164"/>
    <n v="2270"/>
    <n v="11350"/>
    <n v="5350"/>
    <x v="115"/>
    <x v="33"/>
    <x v="5"/>
    <x v="11"/>
  </r>
  <r>
    <s v="ORD-00887"/>
    <x v="429"/>
    <s v="CUS-KHL-013"/>
    <s v="R05"/>
    <s v="ST-KHL-05"/>
    <x v="45"/>
    <s v="P018"/>
    <n v="4"/>
    <n v="0"/>
    <n v="7456"/>
    <n v="5"/>
    <x v="3"/>
    <s v="Lentil 1kg"/>
    <s v="Grocery"/>
    <n v="1710"/>
    <x v="131"/>
    <n v="1330"/>
    <n v="5320"/>
    <n v="1520"/>
    <x v="8"/>
    <x v="45"/>
    <x v="6"/>
    <x v="30"/>
  </r>
  <r>
    <s v="ORD-00888"/>
    <x v="212"/>
    <s v="CUS-RAJ-011"/>
    <s v="R04"/>
    <s v="ST-RAJ-01"/>
    <x v="46"/>
    <s v="P004"/>
    <n v="8"/>
    <n v="0.08"/>
    <n v="33437"/>
    <n v="4"/>
    <x v="6"/>
    <s v="Smart Watch"/>
    <s v="Electronics"/>
    <n v="3870"/>
    <x v="246"/>
    <n v="2630"/>
    <n v="21040"/>
    <n v="9920"/>
    <x v="43"/>
    <x v="46"/>
    <x v="1"/>
    <x v="36"/>
  </r>
  <r>
    <s v="ORD-00889"/>
    <x v="248"/>
    <s v="CUS-RAJ-016"/>
    <s v="R04"/>
    <s v="ST-RAJ-01"/>
    <x v="40"/>
    <s v="P044"/>
    <n v="2"/>
    <n v="0.03"/>
    <n v="4860"/>
    <n v="6"/>
    <x v="4"/>
    <s v="Color Pencil Set"/>
    <s v="Kids &amp; Toys"/>
    <n v="2250"/>
    <x v="210"/>
    <n v="1240"/>
    <n v="2480"/>
    <n v="2020"/>
    <x v="30"/>
    <x v="40"/>
    <x v="1"/>
    <x v="36"/>
  </r>
  <r>
    <s v="ORD-00890"/>
    <x v="184"/>
    <s v="CUS-CTG-018"/>
    <s v="R02"/>
    <s v="ST-CTG-04"/>
    <x v="23"/>
    <s v="P005"/>
    <n v="1"/>
    <n v="0.15"/>
    <n v="5575"/>
    <n v="4"/>
    <x v="3"/>
    <s v="USB-C Hub"/>
    <s v="Electronics"/>
    <n v="4890"/>
    <x v="100"/>
    <n v="3330"/>
    <n v="3330"/>
    <n v="1560"/>
    <x v="6"/>
    <x v="23"/>
    <x v="7"/>
    <x v="33"/>
  </r>
  <r>
    <s v="ORD-00891"/>
    <x v="367"/>
    <s v="CUS-RAJ-021"/>
    <s v="R04"/>
    <s v="ST-RAJ-03"/>
    <x v="2"/>
    <s v="P013"/>
    <n v="1"/>
    <n v="0.03"/>
    <n v="2149"/>
    <n v="7"/>
    <x v="11"/>
    <s v="Women Kurti"/>
    <s v="Fashion"/>
    <n v="1990"/>
    <x v="163"/>
    <n v="1090"/>
    <n v="1090"/>
    <n v="900"/>
    <x v="73"/>
    <x v="2"/>
    <x v="1"/>
    <x v="18"/>
  </r>
  <r>
    <s v="ORD-00892"/>
    <x v="327"/>
    <s v="CUS-RAJ-018"/>
    <s v="R04"/>
    <s v="ST-RAJ-05"/>
    <x v="2"/>
    <s v="P028"/>
    <n v="3"/>
    <n v="0.03"/>
    <n v="10433"/>
    <n v="5"/>
    <x v="19"/>
    <s v="Ladies Sandal"/>
    <s v="Footwear"/>
    <n v="3220"/>
    <x v="111"/>
    <n v="1930"/>
    <n v="5790"/>
    <n v="3870"/>
    <x v="64"/>
    <x v="2"/>
    <x v="1"/>
    <x v="38"/>
  </r>
  <r>
    <s v="ORD-00893"/>
    <x v="275"/>
    <s v="CUS-RAN-025"/>
    <s v="R07"/>
    <s v="ST-RAN-04"/>
    <x v="0"/>
    <s v="P003"/>
    <n v="3"/>
    <n v="0.15"/>
    <n v="9798"/>
    <n v="8"/>
    <x v="22"/>
    <s v="Power Bank"/>
    <s v="Electronics"/>
    <n v="2840"/>
    <x v="3"/>
    <n v="1930"/>
    <n v="5790"/>
    <n v="2730"/>
    <x v="19"/>
    <x v="0"/>
    <x v="0"/>
    <x v="13"/>
  </r>
  <r>
    <s v="ORD-00894"/>
    <x v="377"/>
    <s v="CUS-BAR-012"/>
    <s v="R06"/>
    <s v="ST-BAR-02"/>
    <x v="33"/>
    <s v="P011"/>
    <n v="1"/>
    <n v="0.12"/>
    <n v="2094"/>
    <n v="7"/>
    <x v="12"/>
    <s v="Cotton T-Shirt"/>
    <s v="Fashion"/>
    <n v="1870"/>
    <x v="43"/>
    <n v="1030"/>
    <n v="1030"/>
    <n v="840"/>
    <x v="72"/>
    <x v="33"/>
    <x v="5"/>
    <x v="11"/>
  </r>
  <r>
    <s v="ORD-00895"/>
    <x v="341"/>
    <s v="CUS-DHA-008"/>
    <s v="R01"/>
    <s v="ST-DHA-04"/>
    <x v="35"/>
    <s v="P033"/>
    <n v="10"/>
    <n v="0.03"/>
    <n v="32860"/>
    <n v="3"/>
    <x v="10"/>
    <s v="Badminton Racket"/>
    <s v="Sports"/>
    <n v="3100"/>
    <x v="279"/>
    <n v="1920"/>
    <n v="19200"/>
    <n v="11800"/>
    <x v="66"/>
    <x v="35"/>
    <x v="4"/>
    <x v="35"/>
  </r>
  <r>
    <s v="ORD-00896"/>
    <x v="99"/>
    <s v="CUS-DHA-003"/>
    <s v="R01"/>
    <s v="ST-DHA-01"/>
    <x v="28"/>
    <s v="P011"/>
    <n v="1"/>
    <n v="7.0000000000000007E-2"/>
    <n v="1982"/>
    <n v="1"/>
    <x v="13"/>
    <s v="Cotton T-Shirt"/>
    <s v="Fashion"/>
    <n v="1870"/>
    <x v="43"/>
    <n v="1030"/>
    <n v="1030"/>
    <n v="840"/>
    <x v="65"/>
    <x v="28"/>
    <x v="4"/>
    <x v="29"/>
  </r>
  <r>
    <s v="ORD-00897"/>
    <x v="329"/>
    <s v="CUS-RAJ-010"/>
    <s v="R04"/>
    <s v="ST-RAJ-02"/>
    <x v="40"/>
    <s v="P010"/>
    <n v="3"/>
    <n v="0.08"/>
    <n v="10076"/>
    <n v="6"/>
    <x v="16"/>
    <s v="Table Fan"/>
    <s v="Home Appliance"/>
    <n v="3110"/>
    <x v="28"/>
    <n v="2180"/>
    <n v="6540"/>
    <n v="2790"/>
    <x v="89"/>
    <x v="40"/>
    <x v="1"/>
    <x v="2"/>
  </r>
  <r>
    <s v="ORD-00898"/>
    <x v="14"/>
    <s v="CUS-MYM-023"/>
    <s v="R08"/>
    <s v="ST-MYM-03"/>
    <x v="11"/>
    <s v="P011"/>
    <n v="8"/>
    <n v="0.12"/>
    <n v="16157"/>
    <n v="6"/>
    <x v="28"/>
    <s v="Cotton T-Shirt"/>
    <s v="Fashion"/>
    <n v="1870"/>
    <x v="280"/>
    <n v="1030"/>
    <n v="8240"/>
    <n v="6720"/>
    <x v="70"/>
    <x v="11"/>
    <x v="2"/>
    <x v="10"/>
  </r>
  <r>
    <s v="ORD-00899"/>
    <x v="199"/>
    <s v="CUS-KHL-021"/>
    <s v="R05"/>
    <s v="ST-KHL-02"/>
    <x v="29"/>
    <s v="P043"/>
    <n v="4"/>
    <n v="0.12"/>
    <n v="9592"/>
    <n v="4"/>
    <x v="6"/>
    <s v="Puzzle Board"/>
    <s v="Kids &amp; Toys"/>
    <n v="2200"/>
    <x v="179"/>
    <n v="1210"/>
    <n v="4840"/>
    <n v="3960"/>
    <x v="58"/>
    <x v="29"/>
    <x v="6"/>
    <x v="14"/>
  </r>
  <r>
    <s v="ORD-00900"/>
    <x v="430"/>
    <s v="CUS-RAN-023"/>
    <s v="R07"/>
    <s v="ST-RAN-05"/>
    <x v="4"/>
    <s v="P006"/>
    <n v="6"/>
    <n v="0.18"/>
    <n v="49680"/>
    <n v="9"/>
    <x v="14"/>
    <s v="Electric Kettle"/>
    <s v="Home Appliance"/>
    <n v="7200"/>
    <x v="29"/>
    <n v="5040"/>
    <n v="30240"/>
    <n v="12960"/>
    <x v="125"/>
    <x v="4"/>
    <x v="0"/>
    <x v="39"/>
  </r>
  <r>
    <s v="ORD-00901"/>
    <x v="11"/>
    <s v="CUS-RAJ-010"/>
    <s v="R04"/>
    <s v="ST-RAJ-05"/>
    <x v="46"/>
    <s v="P003"/>
    <n v="1"/>
    <n v="0.1"/>
    <n v="3067"/>
    <n v="3"/>
    <x v="21"/>
    <s v="Power Bank"/>
    <s v="Electronics"/>
    <n v="2840"/>
    <x v="53"/>
    <n v="1930"/>
    <n v="1930"/>
    <n v="910"/>
    <x v="89"/>
    <x v="46"/>
    <x v="1"/>
    <x v="38"/>
  </r>
  <r>
    <s v="ORD-00902"/>
    <x v="431"/>
    <s v="CUS-MYM-004"/>
    <s v="R08"/>
    <s v="ST-MYM-01"/>
    <x v="19"/>
    <s v="P039"/>
    <n v="2"/>
    <n v="0.05"/>
    <n v="2246"/>
    <n v="2"/>
    <x v="15"/>
    <s v="Marker Set"/>
    <s v="Stationery"/>
    <n v="1040"/>
    <x v="10"/>
    <n v="520"/>
    <n v="1040"/>
    <n v="1040"/>
    <x v="92"/>
    <x v="19"/>
    <x v="2"/>
    <x v="3"/>
  </r>
  <r>
    <s v="ORD-00903"/>
    <x v="402"/>
    <s v="CUS-KHL-003"/>
    <s v="R05"/>
    <s v="ST-KHL-01"/>
    <x v="16"/>
    <s v="P040"/>
    <n v="2"/>
    <n v="0.05"/>
    <n v="1657"/>
    <n v="3"/>
    <x v="25"/>
    <s v="Sticky Notes"/>
    <s v="Stationery"/>
    <n v="760"/>
    <x v="234"/>
    <n v="380"/>
    <n v="760"/>
    <n v="760"/>
    <x v="85"/>
    <x v="16"/>
    <x v="6"/>
    <x v="24"/>
  </r>
  <r>
    <s v="ORD-00904"/>
    <x v="353"/>
    <s v="CUS-RAJ-013"/>
    <s v="R04"/>
    <s v="ST-RAJ-02"/>
    <x v="30"/>
    <s v="P011"/>
    <n v="3"/>
    <n v="0.03"/>
    <n v="6059"/>
    <n v="4"/>
    <x v="17"/>
    <s v="Cotton T-Shirt"/>
    <s v="Fashion"/>
    <n v="1870"/>
    <x v="63"/>
    <n v="1030"/>
    <n v="3090"/>
    <n v="2520"/>
    <x v="130"/>
    <x v="30"/>
    <x v="1"/>
    <x v="2"/>
  </r>
  <r>
    <s v="ORD-00905"/>
    <x v="432"/>
    <s v="CUS-BAR-001"/>
    <s v="R06"/>
    <s v="ST-BAR-05"/>
    <x v="33"/>
    <s v="P045"/>
    <n v="5"/>
    <n v="0.12"/>
    <n v="4704"/>
    <n v="5"/>
    <x v="5"/>
    <s v="Kids Story Book"/>
    <s v="Kids &amp; Toys"/>
    <n v="840"/>
    <x v="140"/>
    <n v="460"/>
    <n v="2300"/>
    <n v="1900"/>
    <x v="49"/>
    <x v="33"/>
    <x v="5"/>
    <x v="7"/>
  </r>
  <r>
    <s v="ORD-00906"/>
    <x v="279"/>
    <s v="CUS-RAN-014"/>
    <s v="R07"/>
    <s v="ST-RAN-01"/>
    <x v="7"/>
    <s v="P018"/>
    <n v="5"/>
    <n v="0.05"/>
    <n v="9832"/>
    <n v="6"/>
    <x v="4"/>
    <s v="Lentil 1kg"/>
    <s v="Grocery"/>
    <n v="1710"/>
    <x v="281"/>
    <n v="1330"/>
    <n v="6650"/>
    <n v="1900"/>
    <x v="7"/>
    <x v="7"/>
    <x v="0"/>
    <x v="0"/>
  </r>
  <r>
    <s v="ORD-00907"/>
    <x v="54"/>
    <s v="CUS-RAN-019"/>
    <s v="R07"/>
    <s v="ST-RAN-05"/>
    <x v="21"/>
    <s v="P005"/>
    <n v="2"/>
    <n v="0.1"/>
    <n v="11247"/>
    <n v="6"/>
    <x v="16"/>
    <s v="USB-C Hub"/>
    <s v="Electronics"/>
    <n v="4890"/>
    <x v="19"/>
    <n v="3330"/>
    <n v="6660"/>
    <n v="3120"/>
    <x v="93"/>
    <x v="21"/>
    <x v="0"/>
    <x v="39"/>
  </r>
  <r>
    <s v="ORD-00908"/>
    <x v="30"/>
    <s v="CUS-KHL-003"/>
    <s v="R05"/>
    <s v="ST-KHL-02"/>
    <x v="29"/>
    <s v="P006"/>
    <n v="1"/>
    <n v="0.12"/>
    <n v="7848"/>
    <n v="5"/>
    <x v="5"/>
    <s v="Electric Kettle"/>
    <s v="Home Appliance"/>
    <n v="7200"/>
    <x v="0"/>
    <n v="5040"/>
    <n v="5040"/>
    <n v="2160"/>
    <x v="85"/>
    <x v="29"/>
    <x v="6"/>
    <x v="14"/>
  </r>
  <r>
    <s v="ORD-00909"/>
    <x v="33"/>
    <s v="CUS-BAR-009"/>
    <s v="R06"/>
    <s v="ST-BAR-03"/>
    <x v="10"/>
    <s v="P037"/>
    <n v="1"/>
    <n v="0.03"/>
    <n v="381"/>
    <n v="7"/>
    <x v="11"/>
    <s v="Ball Pen Box"/>
    <s v="Stationery"/>
    <n v="340"/>
    <x v="214"/>
    <n v="170"/>
    <n v="170"/>
    <n v="170"/>
    <x v="31"/>
    <x v="10"/>
    <x v="5"/>
    <x v="27"/>
  </r>
  <r>
    <s v="ORD-00910"/>
    <x v="301"/>
    <s v="CUS-MYM-015"/>
    <s v="R08"/>
    <s v="ST-MYM-01"/>
    <x v="19"/>
    <s v="P001"/>
    <n v="8"/>
    <n v="0.15"/>
    <n v="27994"/>
    <n v="1"/>
    <x v="1"/>
    <s v="Bluetooth Speaker"/>
    <s v="Electronics"/>
    <n v="3240"/>
    <x v="282"/>
    <n v="2200"/>
    <n v="17600"/>
    <n v="8320"/>
    <x v="126"/>
    <x v="19"/>
    <x v="2"/>
    <x v="3"/>
  </r>
  <r>
    <s v="ORD-00911"/>
    <x v="433"/>
    <s v="CUS-RAJ-014"/>
    <s v="R04"/>
    <s v="ST-RAJ-01"/>
    <x v="40"/>
    <s v="P046"/>
    <n v="6"/>
    <n v="0.12"/>
    <n v="28382"/>
    <n v="6"/>
    <x v="28"/>
    <s v="Office Chair"/>
    <s v="Furniture"/>
    <n v="4380"/>
    <x v="70"/>
    <n v="3150"/>
    <n v="18900"/>
    <n v="7380"/>
    <x v="49"/>
    <x v="40"/>
    <x v="1"/>
    <x v="36"/>
  </r>
  <r>
    <s v="ORD-00912"/>
    <x v="225"/>
    <s v="CUS-SYL-009"/>
    <s v="R03"/>
    <s v="ST-SYL-03"/>
    <x v="38"/>
    <s v="P041"/>
    <n v="1"/>
    <n v="0.05"/>
    <n v="899"/>
    <n v="4"/>
    <x v="20"/>
    <s v="Building Blocks"/>
    <s v="Kids &amp; Toys"/>
    <n v="840"/>
    <x v="112"/>
    <n v="460"/>
    <n v="460"/>
    <n v="380"/>
    <x v="138"/>
    <x v="38"/>
    <x v="3"/>
    <x v="23"/>
  </r>
  <r>
    <s v="ORD-00913"/>
    <x v="35"/>
    <s v="CUS-SYL-020"/>
    <s v="R03"/>
    <s v="ST-SYL-01"/>
    <x v="20"/>
    <s v="P003"/>
    <n v="1"/>
    <n v="0.18"/>
    <n v="3039"/>
    <n v="5"/>
    <x v="4"/>
    <s v="Power Bank"/>
    <s v="Electronics"/>
    <n v="2840"/>
    <x v="53"/>
    <n v="1930"/>
    <n v="1930"/>
    <n v="910"/>
    <x v="33"/>
    <x v="20"/>
    <x v="3"/>
    <x v="25"/>
  </r>
  <r>
    <s v="ORD-00914"/>
    <x v="147"/>
    <s v="CUS-DHA-018"/>
    <s v="R01"/>
    <s v="ST-DHA-02"/>
    <x v="44"/>
    <s v="P047"/>
    <n v="8"/>
    <n v="0.03"/>
    <n v="99046"/>
    <n v="2"/>
    <x v="15"/>
    <s v="Study Table"/>
    <s v="Furniture"/>
    <n v="11680"/>
    <x v="30"/>
    <n v="8410"/>
    <n v="67280"/>
    <n v="26160"/>
    <x v="45"/>
    <x v="44"/>
    <x v="4"/>
    <x v="8"/>
  </r>
  <r>
    <s v="ORD-00915"/>
    <x v="245"/>
    <s v="CUS-BAR-018"/>
    <s v="R06"/>
    <s v="ST-BAR-01"/>
    <x v="12"/>
    <s v="P005"/>
    <n v="2"/>
    <n v="0.08"/>
    <n v="10954"/>
    <n v="4"/>
    <x v="6"/>
    <s v="USB-C Hub"/>
    <s v="Electronics"/>
    <n v="4890"/>
    <x v="19"/>
    <n v="3330"/>
    <n v="6660"/>
    <n v="3120"/>
    <x v="21"/>
    <x v="12"/>
    <x v="5"/>
    <x v="9"/>
  </r>
  <r>
    <s v="ORD-00916"/>
    <x v="434"/>
    <s v="CUS-BAR-019"/>
    <s v="R06"/>
    <s v="ST-BAR-03"/>
    <x v="10"/>
    <s v="P010"/>
    <n v="5"/>
    <n v="0.08"/>
    <n v="17416"/>
    <n v="7"/>
    <x v="2"/>
    <s v="Table Fan"/>
    <s v="Home Appliance"/>
    <n v="3110"/>
    <x v="136"/>
    <n v="2180"/>
    <n v="10900"/>
    <n v="4650"/>
    <x v="10"/>
    <x v="10"/>
    <x v="5"/>
    <x v="27"/>
  </r>
  <r>
    <s v="ORD-00917"/>
    <x v="217"/>
    <s v="CUS-BAR-020"/>
    <s v="R06"/>
    <s v="ST-BAR-03"/>
    <x v="33"/>
    <s v="P049"/>
    <n v="2"/>
    <n v="7.0000000000000007E-2"/>
    <n v="9475"/>
    <n v="6"/>
    <x v="16"/>
    <s v="Bookshelf"/>
    <s v="Furniture"/>
    <n v="4230"/>
    <x v="207"/>
    <n v="3050"/>
    <n v="6100"/>
    <n v="2360"/>
    <x v="12"/>
    <x v="33"/>
    <x v="5"/>
    <x v="27"/>
  </r>
  <r>
    <s v="ORD-00918"/>
    <x v="435"/>
    <s v="CUS-DHA-010"/>
    <s v="R01"/>
    <s v="ST-DHA-02"/>
    <x v="9"/>
    <s v="P001"/>
    <n v="5"/>
    <n v="0.18"/>
    <n v="17172"/>
    <n v="1"/>
    <x v="15"/>
    <s v="Bluetooth Speaker"/>
    <s v="Electronics"/>
    <n v="3240"/>
    <x v="16"/>
    <n v="2200"/>
    <n v="11000"/>
    <n v="5200"/>
    <x v="59"/>
    <x v="9"/>
    <x v="4"/>
    <x v="8"/>
  </r>
  <r>
    <s v="ORD-00919"/>
    <x v="123"/>
    <s v="CUS-BAR-007"/>
    <s v="R06"/>
    <s v="ST-BAR-04"/>
    <x v="12"/>
    <s v="P001"/>
    <n v="2"/>
    <n v="0.08"/>
    <n v="7258"/>
    <n v="9"/>
    <x v="32"/>
    <s v="Bluetooth Speaker"/>
    <s v="Electronics"/>
    <n v="3240"/>
    <x v="95"/>
    <n v="2200"/>
    <n v="4400"/>
    <n v="2080"/>
    <x v="113"/>
    <x v="12"/>
    <x v="5"/>
    <x v="12"/>
  </r>
  <r>
    <s v="ORD-00920"/>
    <x v="356"/>
    <s v="CUS-RAJ-019"/>
    <s v="R04"/>
    <s v="ST-RAJ-05"/>
    <x v="40"/>
    <s v="P024"/>
    <n v="3"/>
    <n v="0.12"/>
    <n v="4568"/>
    <n v="3"/>
    <x v="21"/>
    <s v="Toothpaste Twin Pack"/>
    <s v="Beauty &amp; Personal Care"/>
    <n v="1410"/>
    <x v="9"/>
    <n v="820"/>
    <n v="2460"/>
    <n v="1770"/>
    <x v="95"/>
    <x v="40"/>
    <x v="1"/>
    <x v="38"/>
  </r>
  <r>
    <s v="ORD-00921"/>
    <x v="374"/>
    <s v="CUS-DHA-020"/>
    <s v="R01"/>
    <s v="ST-DHA-04"/>
    <x v="35"/>
    <s v="P016"/>
    <n v="2"/>
    <n v="0.03"/>
    <n v="2353"/>
    <n v="3"/>
    <x v="10"/>
    <s v="Premium Rice 5kg"/>
    <s v="Grocery"/>
    <n v="1110"/>
    <x v="58"/>
    <n v="870"/>
    <n v="1740"/>
    <n v="480"/>
    <x v="53"/>
    <x v="35"/>
    <x v="4"/>
    <x v="35"/>
  </r>
  <r>
    <s v="ORD-00922"/>
    <x v="26"/>
    <s v="CUS-BAR-008"/>
    <s v="R06"/>
    <s v="ST-BAR-04"/>
    <x v="33"/>
    <s v="P032"/>
    <n v="5"/>
    <n v="0.1"/>
    <n v="20832"/>
    <n v="4"/>
    <x v="6"/>
    <s v="Football"/>
    <s v="Sports"/>
    <n v="3720"/>
    <x v="211"/>
    <n v="2310"/>
    <n v="11550"/>
    <n v="7050"/>
    <x v="90"/>
    <x v="33"/>
    <x v="5"/>
    <x v="12"/>
  </r>
  <r>
    <s v="ORD-00923"/>
    <x v="331"/>
    <s v="CUS-BAR-003"/>
    <s v="R06"/>
    <s v="ST-BAR-03"/>
    <x v="12"/>
    <s v="P015"/>
    <n v="3"/>
    <n v="0.12"/>
    <n v="8803"/>
    <n v="5"/>
    <x v="5"/>
    <s v="Leather Belt"/>
    <s v="Fashion"/>
    <n v="2620"/>
    <x v="108"/>
    <n v="1440"/>
    <n v="4320"/>
    <n v="3540"/>
    <x v="115"/>
    <x v="12"/>
    <x v="5"/>
    <x v="27"/>
  </r>
  <r>
    <s v="ORD-00924"/>
    <x v="436"/>
    <s v="CUS-RAJ-019"/>
    <s v="R04"/>
    <s v="ST-RAJ-02"/>
    <x v="40"/>
    <s v="P005"/>
    <n v="3"/>
    <n v="0.1"/>
    <n v="15844"/>
    <n v="7"/>
    <x v="12"/>
    <s v="USB-C Hub"/>
    <s v="Electronics"/>
    <n v="4890"/>
    <x v="27"/>
    <n v="3330"/>
    <n v="9990"/>
    <n v="4680"/>
    <x v="95"/>
    <x v="40"/>
    <x v="1"/>
    <x v="2"/>
  </r>
  <r>
    <s v="ORD-00925"/>
    <x v="127"/>
    <s v="CUS-KHL-010"/>
    <s v="R05"/>
    <s v="ST-KHL-03"/>
    <x v="16"/>
    <s v="P003"/>
    <n v="2"/>
    <n v="0.1"/>
    <n v="6191"/>
    <n v="1"/>
    <x v="13"/>
    <s v="Power Bank"/>
    <s v="Electronics"/>
    <n v="2840"/>
    <x v="54"/>
    <n v="1930"/>
    <n v="3860"/>
    <n v="1820"/>
    <x v="51"/>
    <x v="16"/>
    <x v="6"/>
    <x v="17"/>
  </r>
  <r>
    <s v="ORD-00926"/>
    <x v="356"/>
    <s v="CUS-RAJ-006"/>
    <s v="R04"/>
    <s v="ST-RAJ-04"/>
    <x v="1"/>
    <s v="P004"/>
    <n v="4"/>
    <n v="0.15"/>
    <n v="16718"/>
    <n v="3"/>
    <x v="17"/>
    <s v="Smart Watch"/>
    <s v="Electronics"/>
    <n v="3870"/>
    <x v="68"/>
    <n v="2630"/>
    <n v="10520"/>
    <n v="4960"/>
    <x v="21"/>
    <x v="1"/>
    <x v="1"/>
    <x v="1"/>
  </r>
  <r>
    <s v="ORD-00927"/>
    <x v="380"/>
    <s v="CUS-CTG-005"/>
    <s v="R02"/>
    <s v="ST-CTG-01"/>
    <x v="39"/>
    <s v="P001"/>
    <n v="10"/>
    <n v="0.1"/>
    <n v="36936"/>
    <n v="3"/>
    <x v="21"/>
    <s v="Bluetooth Speaker"/>
    <s v="Electronics"/>
    <n v="3240"/>
    <x v="226"/>
    <n v="2200"/>
    <n v="22000"/>
    <n v="10400"/>
    <x v="46"/>
    <x v="39"/>
    <x v="7"/>
    <x v="37"/>
  </r>
  <r>
    <s v="ORD-00928"/>
    <x v="285"/>
    <s v="CUS-RAN-014"/>
    <s v="R07"/>
    <s v="ST-RAN-03"/>
    <x v="27"/>
    <s v="P010"/>
    <n v="4"/>
    <n v="0.08"/>
    <n v="14306"/>
    <n v="8"/>
    <x v="30"/>
    <s v="Table Fan"/>
    <s v="Home Appliance"/>
    <n v="3110"/>
    <x v="38"/>
    <n v="2180"/>
    <n v="8720"/>
    <n v="3720"/>
    <x v="7"/>
    <x v="27"/>
    <x v="0"/>
    <x v="26"/>
  </r>
  <r>
    <s v="ORD-00929"/>
    <x v="341"/>
    <s v="CUS-BAR-011"/>
    <s v="R06"/>
    <s v="ST-BAR-05"/>
    <x v="12"/>
    <s v="P023"/>
    <n v="1"/>
    <n v="7.0000000000000007E-2"/>
    <n v="1299"/>
    <n v="9"/>
    <x v="9"/>
    <s v="Body Lotion"/>
    <s v="Beauty &amp; Personal Care"/>
    <n v="1160"/>
    <x v="225"/>
    <n v="670"/>
    <n v="670"/>
    <n v="490"/>
    <x v="39"/>
    <x v="12"/>
    <x v="5"/>
    <x v="7"/>
  </r>
  <r>
    <s v="ORD-00930"/>
    <x v="119"/>
    <s v="CUS-MYM-024"/>
    <s v="R08"/>
    <s v="ST-MYM-04"/>
    <x v="3"/>
    <s v="P033"/>
    <n v="4"/>
    <n v="0.12"/>
    <n v="13392"/>
    <n v="3"/>
    <x v="21"/>
    <s v="Badminton Racket"/>
    <s v="Sports"/>
    <n v="3100"/>
    <x v="218"/>
    <n v="1920"/>
    <n v="7680"/>
    <n v="4720"/>
    <x v="94"/>
    <x v="3"/>
    <x v="2"/>
    <x v="34"/>
  </r>
  <r>
    <s v="ORD-00931"/>
    <x v="210"/>
    <s v="CUS-CTG-005"/>
    <s v="R02"/>
    <s v="ST-CTG-01"/>
    <x v="18"/>
    <s v="P021"/>
    <n v="3"/>
    <n v="0.05"/>
    <n v="4378"/>
    <n v="3"/>
    <x v="25"/>
    <s v="Face Wash"/>
    <s v="Beauty &amp; Personal Care"/>
    <n v="1280"/>
    <x v="97"/>
    <n v="740"/>
    <n v="2220"/>
    <n v="1620"/>
    <x v="46"/>
    <x v="18"/>
    <x v="7"/>
    <x v="37"/>
  </r>
  <r>
    <s v="ORD-00932"/>
    <x v="417"/>
    <s v="CUS-CTG-008"/>
    <s v="R02"/>
    <s v="ST-CTG-03"/>
    <x v="39"/>
    <s v="P008"/>
    <n v="6"/>
    <n v="0.18"/>
    <n v="16621"/>
    <n v="7"/>
    <x v="23"/>
    <s v="Blender Machine"/>
    <s v="Home Appliance"/>
    <n v="2430"/>
    <x v="13"/>
    <n v="1700"/>
    <n v="10200"/>
    <n v="4380"/>
    <x v="18"/>
    <x v="39"/>
    <x v="7"/>
    <x v="16"/>
  </r>
  <r>
    <s v="ORD-00933"/>
    <x v="87"/>
    <s v="CUS-RAN-010"/>
    <s v="R07"/>
    <s v="ST-RAN-03"/>
    <x v="4"/>
    <s v="P007"/>
    <n v="8"/>
    <n v="0.08"/>
    <n v="68356"/>
    <n v="9"/>
    <x v="32"/>
    <s v="Rice Cooker"/>
    <s v="Home Appliance"/>
    <n v="7430"/>
    <x v="64"/>
    <n v="5200"/>
    <n v="41600"/>
    <n v="17840"/>
    <x v="100"/>
    <x v="4"/>
    <x v="0"/>
    <x v="26"/>
  </r>
  <r>
    <s v="ORD-00934"/>
    <x v="411"/>
    <s v="CUS-RAJ-014"/>
    <s v="R04"/>
    <s v="ST-RAJ-05"/>
    <x v="26"/>
    <s v="P020"/>
    <n v="1"/>
    <n v="0.03"/>
    <n v="2311"/>
    <n v="1"/>
    <x v="7"/>
    <s v="Tea Pack 500g"/>
    <s v="Grocery"/>
    <n v="2140"/>
    <x v="141"/>
    <n v="1670"/>
    <n v="1670"/>
    <n v="470"/>
    <x v="49"/>
    <x v="26"/>
    <x v="1"/>
    <x v="38"/>
  </r>
  <r>
    <s v="ORD-00935"/>
    <x v="90"/>
    <s v="CUS-SYL-004"/>
    <s v="R03"/>
    <s v="ST-SYL-03"/>
    <x v="38"/>
    <s v="P014"/>
    <n v="6"/>
    <n v="7.0000000000000007E-2"/>
    <n v="5650"/>
    <n v="4"/>
    <x v="20"/>
    <s v="Denim Jeans"/>
    <s v="Fashion"/>
    <n v="880"/>
    <x v="151"/>
    <n v="480"/>
    <n v="2880"/>
    <n v="2400"/>
    <x v="29"/>
    <x v="38"/>
    <x v="3"/>
    <x v="23"/>
  </r>
  <r>
    <s v="ORD-00936"/>
    <x v="78"/>
    <s v="CUS-CTG-008"/>
    <s v="R02"/>
    <s v="ST-CTG-03"/>
    <x v="23"/>
    <s v="P002"/>
    <n v="4"/>
    <n v="0.08"/>
    <n v="15230"/>
    <n v="4"/>
    <x v="6"/>
    <s v="Wireless Mouse"/>
    <s v="Electronics"/>
    <n v="3340"/>
    <x v="83"/>
    <n v="2270"/>
    <n v="9080"/>
    <n v="4280"/>
    <x v="18"/>
    <x v="23"/>
    <x v="7"/>
    <x v="16"/>
  </r>
  <r>
    <s v="ORD-00937"/>
    <x v="48"/>
    <s v="CUS-DHA-018"/>
    <s v="R01"/>
    <s v="ST-DHA-05"/>
    <x v="28"/>
    <s v="P001"/>
    <n v="2"/>
    <n v="0.12"/>
    <n v="6869"/>
    <n v="4"/>
    <x v="6"/>
    <s v="Bluetooth Speaker"/>
    <s v="Electronics"/>
    <n v="3240"/>
    <x v="95"/>
    <n v="2200"/>
    <n v="4400"/>
    <n v="2080"/>
    <x v="45"/>
    <x v="28"/>
    <x v="4"/>
    <x v="15"/>
  </r>
  <r>
    <s v="ORD-00938"/>
    <x v="400"/>
    <s v="CUS-MYM-017"/>
    <s v="R08"/>
    <s v="ST-MYM-02"/>
    <x v="19"/>
    <s v="P006"/>
    <n v="4"/>
    <n v="0.15"/>
    <n v="31104"/>
    <n v="5"/>
    <x v="5"/>
    <s v="Electric Kettle"/>
    <s v="Home Appliance"/>
    <n v="7200"/>
    <x v="113"/>
    <n v="5040"/>
    <n v="20160"/>
    <n v="8640"/>
    <x v="106"/>
    <x v="19"/>
    <x v="2"/>
    <x v="20"/>
  </r>
  <r>
    <s v="ORD-00939"/>
    <x v="370"/>
    <s v="CUS-RAN-016"/>
    <s v="R07"/>
    <s v="ST-RAN-03"/>
    <x v="7"/>
    <s v="P041"/>
    <n v="4"/>
    <n v="0.03"/>
    <n v="3864"/>
    <n v="9"/>
    <x v="22"/>
    <s v="Building Blocks"/>
    <s v="Kids &amp; Toys"/>
    <n v="840"/>
    <x v="31"/>
    <n v="460"/>
    <n v="1840"/>
    <n v="1520"/>
    <x v="0"/>
    <x v="7"/>
    <x v="0"/>
    <x v="26"/>
  </r>
  <r>
    <s v="ORD-00940"/>
    <x v="371"/>
    <s v="CUS-RAJ-024"/>
    <s v="R04"/>
    <s v="ST-RAJ-01"/>
    <x v="26"/>
    <s v="P003"/>
    <n v="4"/>
    <n v="0.18"/>
    <n v="12269"/>
    <n v="3"/>
    <x v="20"/>
    <s v="Power Bank"/>
    <s v="Electronics"/>
    <n v="2840"/>
    <x v="46"/>
    <n v="1930"/>
    <n v="7720"/>
    <n v="3640"/>
    <x v="116"/>
    <x v="26"/>
    <x v="1"/>
    <x v="36"/>
  </r>
  <r>
    <s v="ORD-00941"/>
    <x v="95"/>
    <s v="CUS-CTG-023"/>
    <s v="R02"/>
    <s v="ST-CTG-03"/>
    <x v="41"/>
    <s v="P011"/>
    <n v="1"/>
    <n v="0.12"/>
    <n v="2132"/>
    <n v="3"/>
    <x v="21"/>
    <s v="Cotton T-Shirt"/>
    <s v="Fashion"/>
    <n v="1870"/>
    <x v="43"/>
    <n v="1030"/>
    <n v="1030"/>
    <n v="840"/>
    <x v="43"/>
    <x v="41"/>
    <x v="7"/>
    <x v="16"/>
  </r>
  <r>
    <s v="ORD-00942"/>
    <x v="381"/>
    <s v="CUS-DHA-021"/>
    <s v="R01"/>
    <s v="ST-DHA-01"/>
    <x v="28"/>
    <s v="P003"/>
    <n v="5"/>
    <n v="0.1"/>
    <n v="15052"/>
    <n v="1"/>
    <x v="13"/>
    <s v="Power Bank"/>
    <s v="Electronics"/>
    <n v="2840"/>
    <x v="57"/>
    <n v="1930"/>
    <n v="9650"/>
    <n v="4550"/>
    <x v="111"/>
    <x v="28"/>
    <x v="4"/>
    <x v="29"/>
  </r>
  <r>
    <s v="ORD-00943"/>
    <x v="437"/>
    <s v="CUS-RAJ-009"/>
    <s v="R04"/>
    <s v="ST-RAJ-04"/>
    <x v="46"/>
    <s v="P013"/>
    <n v="4"/>
    <n v="7.0000000000000007E-2"/>
    <n v="8597"/>
    <n v="6"/>
    <x v="16"/>
    <s v="Women Kurti"/>
    <s v="Fashion"/>
    <n v="1990"/>
    <x v="283"/>
    <n v="1090"/>
    <n v="4360"/>
    <n v="3600"/>
    <x v="76"/>
    <x v="46"/>
    <x v="1"/>
    <x v="1"/>
  </r>
  <r>
    <s v="ORD-00944"/>
    <x v="274"/>
    <s v="CUS-CTG-017"/>
    <s v="R02"/>
    <s v="ST-CTG-02"/>
    <x v="41"/>
    <s v="P011"/>
    <n v="3"/>
    <n v="0.05"/>
    <n v="6395"/>
    <n v="7"/>
    <x v="11"/>
    <s v="Cotton T-Shirt"/>
    <s v="Fashion"/>
    <n v="1870"/>
    <x v="63"/>
    <n v="1030"/>
    <n v="3090"/>
    <n v="2520"/>
    <x v="1"/>
    <x v="41"/>
    <x v="7"/>
    <x v="22"/>
  </r>
  <r>
    <s v="ORD-00945"/>
    <x v="204"/>
    <s v="CUS-SYL-002"/>
    <s v="R03"/>
    <s v="ST-SYL-04"/>
    <x v="25"/>
    <s v="P005"/>
    <n v="3"/>
    <n v="0.1"/>
    <n v="15697"/>
    <n v="2"/>
    <x v="24"/>
    <s v="USB-C Hub"/>
    <s v="Electronics"/>
    <n v="4890"/>
    <x v="27"/>
    <n v="3330"/>
    <n v="9990"/>
    <n v="4680"/>
    <x v="4"/>
    <x v="25"/>
    <x v="3"/>
    <x v="21"/>
  </r>
  <r>
    <s v="ORD-00946"/>
    <x v="321"/>
    <s v="CUS-SYL-010"/>
    <s v="R03"/>
    <s v="ST-SYL-02"/>
    <x v="38"/>
    <s v="P027"/>
    <n v="4"/>
    <n v="0.1"/>
    <n v="5179"/>
    <n v="1"/>
    <x v="13"/>
    <s v="Formal Shoe"/>
    <s v="Footwear"/>
    <n v="1210"/>
    <x v="284"/>
    <n v="730"/>
    <n v="2920"/>
    <n v="1920"/>
    <x v="44"/>
    <x v="38"/>
    <x v="3"/>
    <x v="32"/>
  </r>
  <r>
    <s v="ORD-00947"/>
    <x v="205"/>
    <s v="CUS-BAR-018"/>
    <s v="R06"/>
    <s v="ST-BAR-04"/>
    <x v="33"/>
    <s v="P002"/>
    <n v="9"/>
    <n v="0.15"/>
    <n v="33667"/>
    <n v="7"/>
    <x v="23"/>
    <s v="Wireless Mouse"/>
    <s v="Electronics"/>
    <n v="3340"/>
    <x v="285"/>
    <n v="2270"/>
    <n v="20430"/>
    <n v="9630"/>
    <x v="21"/>
    <x v="33"/>
    <x v="5"/>
    <x v="12"/>
  </r>
  <r>
    <s v="ORD-00948"/>
    <x v="438"/>
    <s v="CUS-RAN-004"/>
    <s v="R07"/>
    <s v="ST-RAN-02"/>
    <x v="4"/>
    <s v="P047"/>
    <n v="3"/>
    <n v="0.05"/>
    <n v="40296"/>
    <n v="8"/>
    <x v="30"/>
    <s v="Study Table"/>
    <s v="Furniture"/>
    <n v="11680"/>
    <x v="107"/>
    <n v="8410"/>
    <n v="25230"/>
    <n v="9810"/>
    <x v="74"/>
    <x v="4"/>
    <x v="0"/>
    <x v="6"/>
  </r>
  <r>
    <s v="ORD-00949"/>
    <x v="71"/>
    <s v="CUS-MYM-016"/>
    <s v="R08"/>
    <s v="ST-MYM-05"/>
    <x v="19"/>
    <s v="P028"/>
    <n v="2"/>
    <n v="0.12"/>
    <n v="6955"/>
    <n v="5"/>
    <x v="5"/>
    <s v="Ladies Sandal"/>
    <s v="Footwear"/>
    <n v="3220"/>
    <x v="4"/>
    <n v="1930"/>
    <n v="3860"/>
    <n v="2580"/>
    <x v="61"/>
    <x v="19"/>
    <x v="2"/>
    <x v="28"/>
  </r>
  <r>
    <s v="ORD-00950"/>
    <x v="95"/>
    <s v="CUS-RAN-002"/>
    <s v="R07"/>
    <s v="ST-RAN-05"/>
    <x v="42"/>
    <s v="P005"/>
    <n v="2"/>
    <n v="0.15"/>
    <n v="11247"/>
    <n v="9"/>
    <x v="0"/>
    <s v="USB-C Hub"/>
    <s v="Electronics"/>
    <n v="4890"/>
    <x v="19"/>
    <n v="3330"/>
    <n v="6660"/>
    <n v="3120"/>
    <x v="12"/>
    <x v="42"/>
    <x v="0"/>
    <x v="39"/>
  </r>
  <r>
    <s v="ORD-00951"/>
    <x v="8"/>
    <s v="CUS-RAN-013"/>
    <s v="R07"/>
    <s v="ST-RAN-03"/>
    <x v="7"/>
    <s v="P005"/>
    <n v="2"/>
    <n v="0.08"/>
    <n v="11247"/>
    <n v="5"/>
    <x v="29"/>
    <s v="USB-C Hub"/>
    <s v="Electronics"/>
    <n v="4890"/>
    <x v="19"/>
    <n v="3330"/>
    <n v="6660"/>
    <n v="3120"/>
    <x v="41"/>
    <x v="7"/>
    <x v="0"/>
    <x v="26"/>
  </r>
  <r>
    <s v="ORD-00952"/>
    <x v="212"/>
    <s v="CUS-SYL-018"/>
    <s v="R03"/>
    <s v="ST-SYL-02"/>
    <x v="25"/>
    <s v="P002"/>
    <n v="3"/>
    <n v="0.08"/>
    <n v="10721"/>
    <n v="5"/>
    <x v="29"/>
    <s v="Wireless Mouse"/>
    <s v="Electronics"/>
    <n v="3340"/>
    <x v="134"/>
    <n v="2270"/>
    <n v="6810"/>
    <n v="3210"/>
    <x v="108"/>
    <x v="25"/>
    <x v="3"/>
    <x v="32"/>
  </r>
  <r>
    <s v="ORD-00953"/>
    <x v="439"/>
    <s v="CUS-DHA-013"/>
    <s v="R01"/>
    <s v="ST-DHA-01"/>
    <x v="35"/>
    <s v="P007"/>
    <n v="6"/>
    <n v="0.08"/>
    <n v="47255"/>
    <n v="3"/>
    <x v="25"/>
    <s v="Rice Cooker"/>
    <s v="Home Appliance"/>
    <n v="7430"/>
    <x v="129"/>
    <n v="5200"/>
    <n v="31200"/>
    <n v="13380"/>
    <x v="6"/>
    <x v="35"/>
    <x v="4"/>
    <x v="29"/>
  </r>
  <r>
    <s v="ORD-00954"/>
    <x v="352"/>
    <s v="CUS-BAR-018"/>
    <s v="R06"/>
    <s v="ST-BAR-02"/>
    <x v="8"/>
    <s v="P039"/>
    <n v="5"/>
    <n v="0.02"/>
    <n v="5824"/>
    <n v="3"/>
    <x v="10"/>
    <s v="Marker Set"/>
    <s v="Stationery"/>
    <n v="1040"/>
    <x v="276"/>
    <n v="520"/>
    <n v="2600"/>
    <n v="2600"/>
    <x v="21"/>
    <x v="8"/>
    <x v="5"/>
    <x v="11"/>
  </r>
  <r>
    <s v="ORD-00955"/>
    <x v="397"/>
    <s v="CUS-KHL-006"/>
    <s v="R05"/>
    <s v="ST-KHL-03"/>
    <x v="16"/>
    <s v="P010"/>
    <n v="8"/>
    <n v="0.08"/>
    <n v="27119"/>
    <n v="7"/>
    <x v="2"/>
    <s v="Table Fan"/>
    <s v="Home Appliance"/>
    <n v="3110"/>
    <x v="286"/>
    <n v="2180"/>
    <n v="17440"/>
    <n v="7440"/>
    <x v="56"/>
    <x v="16"/>
    <x v="6"/>
    <x v="17"/>
  </r>
  <r>
    <s v="ORD-00956"/>
    <x v="99"/>
    <s v="CUS-CTG-017"/>
    <s v="R02"/>
    <s v="ST-CTG-04"/>
    <x v="39"/>
    <s v="P001"/>
    <n v="2"/>
    <n v="0.1"/>
    <n v="7387"/>
    <n v="3"/>
    <x v="21"/>
    <s v="Bluetooth Speaker"/>
    <s v="Electronics"/>
    <n v="3240"/>
    <x v="95"/>
    <n v="2200"/>
    <n v="4400"/>
    <n v="2080"/>
    <x v="1"/>
    <x v="39"/>
    <x v="7"/>
    <x v="33"/>
  </r>
  <r>
    <s v="ORD-00957"/>
    <x v="139"/>
    <s v="CUS-RAJ-002"/>
    <s v="R04"/>
    <s v="ST-RAJ-03"/>
    <x v="30"/>
    <s v="P003"/>
    <n v="3"/>
    <n v="0.1"/>
    <n v="9202"/>
    <n v="6"/>
    <x v="16"/>
    <s v="Power Bank"/>
    <s v="Electronics"/>
    <n v="2840"/>
    <x v="3"/>
    <n v="1930"/>
    <n v="5790"/>
    <n v="2730"/>
    <x v="34"/>
    <x v="30"/>
    <x v="1"/>
    <x v="18"/>
  </r>
  <r>
    <s v="ORD-00958"/>
    <x v="253"/>
    <s v="CUS-CTG-003"/>
    <s v="R02"/>
    <s v="ST-CTG-01"/>
    <x v="18"/>
    <s v="P030"/>
    <n v="3"/>
    <n v="0.12"/>
    <n v="6395"/>
    <n v="2"/>
    <x v="24"/>
    <s v="Casual Loafer"/>
    <s v="Footwear"/>
    <n v="1870"/>
    <x v="63"/>
    <n v="1120"/>
    <n v="3360"/>
    <n v="2250"/>
    <x v="27"/>
    <x v="18"/>
    <x v="7"/>
    <x v="37"/>
  </r>
  <r>
    <s v="ORD-00959"/>
    <x v="288"/>
    <s v="CUS-SYL-004"/>
    <s v="R03"/>
    <s v="ST-SYL-05"/>
    <x v="32"/>
    <s v="P004"/>
    <n v="4"/>
    <n v="0.15"/>
    <n v="16564"/>
    <n v="3"/>
    <x v="17"/>
    <s v="Smart Watch"/>
    <s v="Electronics"/>
    <n v="3870"/>
    <x v="68"/>
    <n v="2630"/>
    <n v="10520"/>
    <n v="4960"/>
    <x v="29"/>
    <x v="32"/>
    <x v="3"/>
    <x v="4"/>
  </r>
  <r>
    <s v="ORD-00960"/>
    <x v="121"/>
    <s v="CUS-KHL-015"/>
    <s v="R05"/>
    <s v="ST-KHL-02"/>
    <x v="45"/>
    <s v="P005"/>
    <n v="3"/>
    <n v="0.08"/>
    <n v="15990"/>
    <n v="3"/>
    <x v="25"/>
    <s v="USB-C Hub"/>
    <s v="Electronics"/>
    <n v="4890"/>
    <x v="27"/>
    <n v="3330"/>
    <n v="9990"/>
    <n v="4680"/>
    <x v="26"/>
    <x v="45"/>
    <x v="6"/>
    <x v="14"/>
  </r>
  <r>
    <s v="ORD-00961"/>
    <x v="440"/>
    <s v="CUS-RAJ-014"/>
    <s v="R04"/>
    <s v="ST-RAJ-05"/>
    <x v="26"/>
    <s v="P013"/>
    <n v="1"/>
    <n v="0.03"/>
    <n v="2149"/>
    <n v="7"/>
    <x v="11"/>
    <s v="Women Kurti"/>
    <s v="Fashion"/>
    <n v="1990"/>
    <x v="163"/>
    <n v="1090"/>
    <n v="1090"/>
    <n v="900"/>
    <x v="49"/>
    <x v="26"/>
    <x v="1"/>
    <x v="38"/>
  </r>
  <r>
    <s v="ORD-00962"/>
    <x v="90"/>
    <s v="CUS-BAR-025"/>
    <s v="R06"/>
    <s v="ST-BAR-05"/>
    <x v="10"/>
    <s v="P002"/>
    <n v="3"/>
    <n v="0.08"/>
    <n v="11222"/>
    <n v="5"/>
    <x v="29"/>
    <s v="Wireless Mouse"/>
    <s v="Electronics"/>
    <n v="3340"/>
    <x v="134"/>
    <n v="2270"/>
    <n v="6810"/>
    <n v="3210"/>
    <x v="8"/>
    <x v="10"/>
    <x v="5"/>
    <x v="7"/>
  </r>
  <r>
    <s v="ORD-00963"/>
    <x v="245"/>
    <s v="CUS-RAN-025"/>
    <s v="R07"/>
    <s v="ST-RAN-02"/>
    <x v="4"/>
    <s v="P009"/>
    <n v="4"/>
    <n v="0.1"/>
    <n v="20976"/>
    <n v="10"/>
    <x v="26"/>
    <s v="Steam Iron"/>
    <s v="Home Appliance"/>
    <n v="4560"/>
    <x v="2"/>
    <n v="3190"/>
    <n v="12760"/>
    <n v="5480"/>
    <x v="19"/>
    <x v="4"/>
    <x v="0"/>
    <x v="6"/>
  </r>
  <r>
    <s v="ORD-00964"/>
    <x v="321"/>
    <s v="CUS-CTG-018"/>
    <s v="R02"/>
    <s v="ST-CTG-02"/>
    <x v="23"/>
    <s v="P041"/>
    <n v="3"/>
    <n v="0.03"/>
    <n v="2873"/>
    <n v="1"/>
    <x v="7"/>
    <s v="Building Blocks"/>
    <s v="Kids &amp; Toys"/>
    <n v="840"/>
    <x v="17"/>
    <n v="460"/>
    <n v="1380"/>
    <n v="1140"/>
    <x v="6"/>
    <x v="23"/>
    <x v="7"/>
    <x v="22"/>
  </r>
  <r>
    <s v="ORD-00965"/>
    <x v="372"/>
    <s v="CUS-SYL-013"/>
    <s v="R03"/>
    <s v="ST-SYL-05"/>
    <x v="32"/>
    <s v="P016"/>
    <n v="1"/>
    <n v="0.05"/>
    <n v="1188"/>
    <n v="3"/>
    <x v="25"/>
    <s v="Premium Rice 5kg"/>
    <s v="Grocery"/>
    <n v="1110"/>
    <x v="139"/>
    <n v="870"/>
    <n v="870"/>
    <n v="240"/>
    <x v="89"/>
    <x v="32"/>
    <x v="3"/>
    <x v="4"/>
  </r>
  <r>
    <s v="ORD-00966"/>
    <x v="38"/>
    <s v="CUS-BAR-005"/>
    <s v="R06"/>
    <s v="ST-BAR-01"/>
    <x v="33"/>
    <s v="P028"/>
    <n v="5"/>
    <n v="7.0000000000000007E-2"/>
    <n v="18032"/>
    <n v="7"/>
    <x v="2"/>
    <s v="Ladies Sandal"/>
    <s v="Footwear"/>
    <n v="3220"/>
    <x v="287"/>
    <n v="1930"/>
    <n v="9650"/>
    <n v="6450"/>
    <x v="131"/>
    <x v="33"/>
    <x v="5"/>
    <x v="9"/>
  </r>
  <r>
    <s v="ORD-00967"/>
    <x v="91"/>
    <s v="CUS-RAJ-025"/>
    <s v="R04"/>
    <s v="ST-RAJ-05"/>
    <x v="2"/>
    <s v="P018"/>
    <n v="8"/>
    <n v="0.02"/>
    <n v="14774"/>
    <n v="3"/>
    <x v="10"/>
    <s v="Lentil 1kg"/>
    <s v="Grocery"/>
    <n v="1710"/>
    <x v="6"/>
    <n v="1330"/>
    <n v="10640"/>
    <n v="3040"/>
    <x v="62"/>
    <x v="2"/>
    <x v="1"/>
    <x v="38"/>
  </r>
  <r>
    <s v="ORD-00968"/>
    <x v="225"/>
    <s v="CUS-CTG-004"/>
    <s v="R02"/>
    <s v="ST-CTG-04"/>
    <x v="37"/>
    <s v="P002"/>
    <n v="4"/>
    <n v="0.1"/>
    <n v="15230"/>
    <n v="8"/>
    <x v="27"/>
    <s v="Wireless Mouse"/>
    <s v="Electronics"/>
    <n v="3340"/>
    <x v="83"/>
    <n v="2270"/>
    <n v="9080"/>
    <n v="4280"/>
    <x v="57"/>
    <x v="37"/>
    <x v="7"/>
    <x v="33"/>
  </r>
  <r>
    <s v="ORD-00969"/>
    <x v="438"/>
    <s v="CUS-CTG-006"/>
    <s v="R02"/>
    <s v="ST-CTG-02"/>
    <x v="39"/>
    <s v="P041"/>
    <n v="2"/>
    <n v="0.1"/>
    <n v="1915"/>
    <n v="7"/>
    <x v="12"/>
    <s v="Building Blocks"/>
    <s v="Kids &amp; Toys"/>
    <n v="840"/>
    <x v="168"/>
    <n v="460"/>
    <n v="920"/>
    <n v="760"/>
    <x v="96"/>
    <x v="39"/>
    <x v="7"/>
    <x v="22"/>
  </r>
  <r>
    <s v="ORD-00970"/>
    <x v="67"/>
    <s v="CUS-MYM-005"/>
    <s v="R08"/>
    <s v="ST-MYM-05"/>
    <x v="19"/>
    <s v="P010"/>
    <n v="1"/>
    <n v="0.12"/>
    <n v="3359"/>
    <n v="9"/>
    <x v="32"/>
    <s v="Table Fan"/>
    <s v="Home Appliance"/>
    <n v="3110"/>
    <x v="77"/>
    <n v="2180"/>
    <n v="2180"/>
    <n v="930"/>
    <x v="3"/>
    <x v="19"/>
    <x v="2"/>
    <x v="28"/>
  </r>
  <r>
    <s v="ORD-00971"/>
    <x v="441"/>
    <s v="CUS-KHL-017"/>
    <s v="R05"/>
    <s v="ST-KHL-03"/>
    <x v="29"/>
    <s v="P043"/>
    <n v="1"/>
    <n v="0.12"/>
    <n v="2398"/>
    <n v="2"/>
    <x v="24"/>
    <s v="Puzzle Board"/>
    <s v="Kids &amp; Toys"/>
    <n v="2200"/>
    <x v="23"/>
    <n v="1210"/>
    <n v="1210"/>
    <n v="990"/>
    <x v="119"/>
    <x v="29"/>
    <x v="6"/>
    <x v="17"/>
  </r>
  <r>
    <s v="ORD-00972"/>
    <x v="350"/>
    <s v="CUS-BAR-017"/>
    <s v="R06"/>
    <s v="ST-BAR-05"/>
    <x v="33"/>
    <s v="P012"/>
    <n v="6"/>
    <n v="0.05"/>
    <n v="12230"/>
    <n v="2"/>
    <x v="15"/>
    <s v="Formal Shirt"/>
    <s v="Fashion"/>
    <n v="1820"/>
    <x v="104"/>
    <n v="1000"/>
    <n v="6000"/>
    <n v="4920"/>
    <x v="139"/>
    <x v="33"/>
    <x v="5"/>
    <x v="7"/>
  </r>
  <r>
    <s v="ORD-00973"/>
    <x v="206"/>
    <s v="CUS-SYL-017"/>
    <s v="R03"/>
    <s v="ST-SYL-04"/>
    <x v="34"/>
    <s v="P007"/>
    <n v="1"/>
    <n v="0.08"/>
    <n v="7950"/>
    <n v="5"/>
    <x v="29"/>
    <s v="Rice Cooker"/>
    <s v="Home Appliance"/>
    <n v="7430"/>
    <x v="8"/>
    <n v="5200"/>
    <n v="5200"/>
    <n v="2230"/>
    <x v="135"/>
    <x v="34"/>
    <x v="3"/>
    <x v="21"/>
  </r>
  <r>
    <s v="ORD-00974"/>
    <x v="442"/>
    <s v="CUS-RAJ-007"/>
    <s v="R04"/>
    <s v="ST-RAJ-01"/>
    <x v="40"/>
    <s v="P012"/>
    <n v="2"/>
    <n v="0.12"/>
    <n v="3931"/>
    <n v="4"/>
    <x v="6"/>
    <s v="Formal Shirt"/>
    <s v="Fashion"/>
    <n v="1820"/>
    <x v="48"/>
    <n v="1000"/>
    <n v="2000"/>
    <n v="1640"/>
    <x v="63"/>
    <x v="40"/>
    <x v="1"/>
    <x v="36"/>
  </r>
  <r>
    <s v="ORD-00975"/>
    <x v="388"/>
    <s v="CUS-SYL-003"/>
    <s v="R03"/>
    <s v="ST-SYL-03"/>
    <x v="25"/>
    <s v="P019"/>
    <n v="2"/>
    <n v="0"/>
    <n v="942"/>
    <n v="4"/>
    <x v="17"/>
    <s v="Flour 2kg"/>
    <s v="Grocery"/>
    <n v="440"/>
    <x v="192"/>
    <n v="340"/>
    <n v="680"/>
    <n v="200"/>
    <x v="36"/>
    <x v="25"/>
    <x v="3"/>
    <x v="23"/>
  </r>
  <r>
    <s v="ORD-00976"/>
    <x v="338"/>
    <s v="CUS-RAN-019"/>
    <s v="R07"/>
    <s v="ST-RAN-03"/>
    <x v="42"/>
    <s v="P023"/>
    <n v="6"/>
    <n v="0.12"/>
    <n v="8004"/>
    <n v="5"/>
    <x v="5"/>
    <s v="Body Lotion"/>
    <s v="Beauty &amp; Personal Care"/>
    <n v="1160"/>
    <x v="288"/>
    <n v="670"/>
    <n v="4020"/>
    <n v="2940"/>
    <x v="93"/>
    <x v="42"/>
    <x v="0"/>
    <x v="26"/>
  </r>
  <r>
    <s v="ORD-00977"/>
    <x v="259"/>
    <s v="CUS-RAJ-003"/>
    <s v="R04"/>
    <s v="ST-RAJ-05"/>
    <x v="46"/>
    <s v="P002"/>
    <n v="2"/>
    <n v="0.12"/>
    <n v="7214"/>
    <n v="3"/>
    <x v="21"/>
    <s v="Wireless Mouse"/>
    <s v="Electronics"/>
    <n v="3340"/>
    <x v="15"/>
    <n v="2270"/>
    <n v="4540"/>
    <n v="2140"/>
    <x v="88"/>
    <x v="46"/>
    <x v="1"/>
    <x v="38"/>
  </r>
  <r>
    <s v="ORD-00978"/>
    <x v="79"/>
    <s v="CUS-RAN-011"/>
    <s v="R07"/>
    <s v="ST-RAN-05"/>
    <x v="21"/>
    <s v="P022"/>
    <n v="1"/>
    <n v="0.05"/>
    <n v="1909"/>
    <n v="6"/>
    <x v="4"/>
    <s v="Shampoo 375ml"/>
    <s v="Beauty &amp; Personal Care"/>
    <n v="1660"/>
    <x v="272"/>
    <n v="960"/>
    <n v="960"/>
    <n v="700"/>
    <x v="99"/>
    <x v="21"/>
    <x v="0"/>
    <x v="39"/>
  </r>
  <r>
    <s v="ORD-00979"/>
    <x v="97"/>
    <s v="CUS-RAJ-003"/>
    <s v="R04"/>
    <s v="ST-RAJ-05"/>
    <x v="46"/>
    <s v="P003"/>
    <n v="5"/>
    <n v="0.12"/>
    <n v="15336"/>
    <n v="8"/>
    <x v="27"/>
    <s v="Power Bank"/>
    <s v="Electronics"/>
    <n v="2840"/>
    <x v="57"/>
    <n v="1930"/>
    <n v="9650"/>
    <n v="4550"/>
    <x v="88"/>
    <x v="46"/>
    <x v="1"/>
    <x v="38"/>
  </r>
  <r>
    <s v="ORD-00980"/>
    <x v="267"/>
    <s v="CUS-SYL-017"/>
    <s v="R03"/>
    <s v="ST-SYL-04"/>
    <x v="32"/>
    <s v="P026"/>
    <n v="2"/>
    <n v="0.05"/>
    <n v="7511"/>
    <n v="5"/>
    <x v="19"/>
    <s v="Running Shoe"/>
    <s v="Footwear"/>
    <n v="3510"/>
    <x v="66"/>
    <n v="2110"/>
    <n v="4220"/>
    <n v="2800"/>
    <x v="135"/>
    <x v="32"/>
    <x v="3"/>
    <x v="21"/>
  </r>
  <r>
    <s v="ORD-00981"/>
    <x v="288"/>
    <s v="CUS-RAN-013"/>
    <s v="R07"/>
    <s v="ST-RAN-04"/>
    <x v="0"/>
    <s v="P013"/>
    <n v="5"/>
    <n v="7.0000000000000007E-2"/>
    <n v="11442"/>
    <n v="2"/>
    <x v="18"/>
    <s v="Women Kurti"/>
    <s v="Fashion"/>
    <n v="1990"/>
    <x v="201"/>
    <n v="1090"/>
    <n v="5450"/>
    <n v="4500"/>
    <x v="41"/>
    <x v="0"/>
    <x v="0"/>
    <x v="13"/>
  </r>
  <r>
    <s v="ORD-00982"/>
    <x v="162"/>
    <s v="CUS-RAJ-006"/>
    <s v="R04"/>
    <s v="ST-RAJ-03"/>
    <x v="30"/>
    <s v="P003"/>
    <n v="4"/>
    <n v="0.12"/>
    <n v="12269"/>
    <n v="3"/>
    <x v="21"/>
    <s v="Power Bank"/>
    <s v="Electronics"/>
    <n v="2840"/>
    <x v="46"/>
    <n v="1930"/>
    <n v="7720"/>
    <n v="3640"/>
    <x v="21"/>
    <x v="30"/>
    <x v="1"/>
    <x v="18"/>
  </r>
  <r>
    <s v="ORD-00983"/>
    <x v="443"/>
    <s v="CUS-CTG-018"/>
    <s v="R02"/>
    <s v="ST-CTG-04"/>
    <x v="37"/>
    <s v="P008"/>
    <n v="5"/>
    <n v="0.15"/>
    <n v="13851"/>
    <n v="7"/>
    <x v="23"/>
    <s v="Blender Machine"/>
    <s v="Home Appliance"/>
    <n v="2430"/>
    <x v="169"/>
    <n v="1700"/>
    <n v="8500"/>
    <n v="3650"/>
    <x v="6"/>
    <x v="37"/>
    <x v="7"/>
    <x v="33"/>
  </r>
  <r>
    <s v="ORD-00984"/>
    <x v="81"/>
    <s v="CUS-RAN-007"/>
    <s v="R07"/>
    <s v="ST-RAN-05"/>
    <x v="21"/>
    <s v="P042"/>
    <n v="2"/>
    <n v="0.05"/>
    <n v="4186"/>
    <n v="4"/>
    <x v="20"/>
    <s v="Toy Car Set"/>
    <s v="Kids &amp; Toys"/>
    <n v="1820"/>
    <x v="48"/>
    <n v="1000"/>
    <n v="2000"/>
    <n v="1640"/>
    <x v="30"/>
    <x v="21"/>
    <x v="0"/>
    <x v="39"/>
  </r>
  <r>
    <s v="ORD-00985"/>
    <x v="354"/>
    <s v="CUS-DHA-007"/>
    <s v="R01"/>
    <s v="ST-DHA-04"/>
    <x v="14"/>
    <s v="P016"/>
    <n v="3"/>
    <n v="0.03"/>
    <n v="3530"/>
    <n v="3"/>
    <x v="10"/>
    <s v="Premium Rice 5kg"/>
    <s v="Grocery"/>
    <n v="1110"/>
    <x v="89"/>
    <n v="870"/>
    <n v="2610"/>
    <n v="720"/>
    <x v="3"/>
    <x v="14"/>
    <x v="4"/>
    <x v="35"/>
  </r>
  <r>
    <s v="ORD-00986"/>
    <x v="366"/>
    <s v="CUS-KHL-017"/>
    <s v="R05"/>
    <s v="ST-KHL-01"/>
    <x v="29"/>
    <s v="P005"/>
    <n v="3"/>
    <n v="0.15"/>
    <n v="15990"/>
    <n v="4"/>
    <x v="3"/>
    <s v="USB-C Hub"/>
    <s v="Electronics"/>
    <n v="4890"/>
    <x v="27"/>
    <n v="3330"/>
    <n v="9990"/>
    <n v="4680"/>
    <x v="119"/>
    <x v="29"/>
    <x v="6"/>
    <x v="24"/>
  </r>
  <r>
    <s v="ORD-00987"/>
    <x v="444"/>
    <s v="CUS-DHA-023"/>
    <s v="R01"/>
    <s v="ST-DHA-03"/>
    <x v="14"/>
    <s v="P024"/>
    <n v="5"/>
    <n v="0.1"/>
    <n v="7473"/>
    <n v="5"/>
    <x v="29"/>
    <s v="Toothpaste Twin Pack"/>
    <s v="Beauty &amp; Personal Care"/>
    <n v="1410"/>
    <x v="121"/>
    <n v="820"/>
    <n v="4100"/>
    <n v="2950"/>
    <x v="103"/>
    <x v="14"/>
    <x v="4"/>
    <x v="5"/>
  </r>
  <r>
    <s v="ORD-00988"/>
    <x v="242"/>
    <s v="CUS-MYM-006"/>
    <s v="R08"/>
    <s v="ST-MYM-04"/>
    <x v="43"/>
    <s v="P041"/>
    <n v="1"/>
    <n v="0.12"/>
    <n v="907"/>
    <n v="4"/>
    <x v="6"/>
    <s v="Building Blocks"/>
    <s v="Kids &amp; Toys"/>
    <n v="840"/>
    <x v="112"/>
    <n v="460"/>
    <n v="460"/>
    <n v="380"/>
    <x v="60"/>
    <x v="43"/>
    <x v="2"/>
    <x v="34"/>
  </r>
  <r>
    <s v="ORD-00989"/>
    <x v="445"/>
    <s v="CUS-SYL-023"/>
    <s v="R03"/>
    <s v="ST-SYL-02"/>
    <x v="20"/>
    <s v="P002"/>
    <n v="1"/>
    <n v="0.08"/>
    <n v="3574"/>
    <n v="2"/>
    <x v="18"/>
    <s v="Wireless Mouse"/>
    <s v="Electronics"/>
    <n v="3340"/>
    <x v="55"/>
    <n v="2270"/>
    <n v="2270"/>
    <n v="1070"/>
    <x v="134"/>
    <x v="20"/>
    <x v="3"/>
    <x v="32"/>
  </r>
  <r>
    <s v="ORD-00990"/>
    <x v="296"/>
    <s v="CUS-KHL-007"/>
    <s v="R05"/>
    <s v="ST-KHL-05"/>
    <x v="13"/>
    <s v="P001"/>
    <n v="6"/>
    <n v="0.1"/>
    <n v="21190"/>
    <n v="6"/>
    <x v="16"/>
    <s v="Bluetooth Speaker"/>
    <s v="Electronics"/>
    <n v="3240"/>
    <x v="82"/>
    <n v="2200"/>
    <n v="13200"/>
    <n v="6240"/>
    <x v="79"/>
    <x v="13"/>
    <x v="6"/>
    <x v="30"/>
  </r>
  <r>
    <s v="ORD-00991"/>
    <x v="228"/>
    <s v="CUS-BAR-017"/>
    <s v="R06"/>
    <s v="ST-BAR-01"/>
    <x v="10"/>
    <s v="P010"/>
    <n v="3"/>
    <n v="0.1"/>
    <n v="10450"/>
    <n v="7"/>
    <x v="12"/>
    <s v="Table Fan"/>
    <s v="Home Appliance"/>
    <n v="3110"/>
    <x v="28"/>
    <n v="2180"/>
    <n v="6540"/>
    <n v="2790"/>
    <x v="139"/>
    <x v="10"/>
    <x v="5"/>
    <x v="9"/>
  </r>
  <r>
    <s v="ORD-00992"/>
    <x v="335"/>
    <s v="CUS-MYM-002"/>
    <s v="R08"/>
    <s v="ST-MYM-03"/>
    <x v="31"/>
    <s v="P004"/>
    <n v="2"/>
    <n v="0.08"/>
    <n v="8359"/>
    <n v="3"/>
    <x v="25"/>
    <s v="Smart Watch"/>
    <s v="Electronics"/>
    <n v="3870"/>
    <x v="118"/>
    <n v="2630"/>
    <n v="5260"/>
    <n v="2480"/>
    <x v="5"/>
    <x v="31"/>
    <x v="2"/>
    <x v="10"/>
  </r>
  <r>
    <s v="ORD-00993"/>
    <x v="45"/>
    <s v="CUS-KHL-009"/>
    <s v="R05"/>
    <s v="ST-KHL-05"/>
    <x v="16"/>
    <s v="P003"/>
    <n v="5"/>
    <n v="0.08"/>
    <n v="15478"/>
    <n v="1"/>
    <x v="13"/>
    <s v="Power Bank"/>
    <s v="Electronics"/>
    <n v="2840"/>
    <x v="57"/>
    <n v="1930"/>
    <n v="9650"/>
    <n v="4550"/>
    <x v="99"/>
    <x v="16"/>
    <x v="6"/>
    <x v="30"/>
  </r>
  <r>
    <s v="ORD-00994"/>
    <x v="95"/>
    <s v="CUS-CTG-003"/>
    <s v="R02"/>
    <s v="ST-CTG-02"/>
    <x v="37"/>
    <s v="P002"/>
    <n v="3"/>
    <n v="0.08"/>
    <n v="11423"/>
    <n v="4"/>
    <x v="6"/>
    <s v="Wireless Mouse"/>
    <s v="Electronics"/>
    <n v="3340"/>
    <x v="134"/>
    <n v="2270"/>
    <n v="6810"/>
    <n v="3210"/>
    <x v="27"/>
    <x v="37"/>
    <x v="7"/>
    <x v="22"/>
  </r>
  <r>
    <s v="ORD-00995"/>
    <x v="446"/>
    <s v="CUS-SYL-001"/>
    <s v="R03"/>
    <s v="ST-SYL-02"/>
    <x v="25"/>
    <s v="P009"/>
    <n v="5"/>
    <n v="0.12"/>
    <n v="24396"/>
    <n v="6"/>
    <x v="28"/>
    <s v="Steam Iron"/>
    <s v="Home Appliance"/>
    <n v="4560"/>
    <x v="273"/>
    <n v="3190"/>
    <n v="15950"/>
    <n v="6850"/>
    <x v="82"/>
    <x v="25"/>
    <x v="3"/>
    <x v="32"/>
  </r>
  <r>
    <s v="ORD-00996"/>
    <x v="447"/>
    <s v="CUS-RAJ-024"/>
    <s v="R04"/>
    <s v="ST-RAJ-02"/>
    <x v="26"/>
    <s v="P001"/>
    <n v="1"/>
    <n v="0.1"/>
    <n v="3499"/>
    <n v="2"/>
    <x v="24"/>
    <s v="Bluetooth Speaker"/>
    <s v="Electronics"/>
    <n v="3240"/>
    <x v="40"/>
    <n v="2200"/>
    <n v="2200"/>
    <n v="1040"/>
    <x v="116"/>
    <x v="26"/>
    <x v="1"/>
    <x v="2"/>
  </r>
  <r>
    <s v="ORD-00997"/>
    <x v="424"/>
    <s v="CUS-BAR-014"/>
    <s v="R06"/>
    <s v="ST-BAR-02"/>
    <x v="8"/>
    <s v="P005"/>
    <n v="1"/>
    <n v="0.12"/>
    <n v="5477"/>
    <n v="5"/>
    <x v="5"/>
    <s v="USB-C Hub"/>
    <s v="Electronics"/>
    <n v="4890"/>
    <x v="100"/>
    <n v="3330"/>
    <n v="3330"/>
    <n v="1560"/>
    <x v="121"/>
    <x v="8"/>
    <x v="5"/>
    <x v="11"/>
  </r>
  <r>
    <s v="ORD-00998"/>
    <x v="232"/>
    <s v="CUS-CTG-016"/>
    <s v="R02"/>
    <s v="ST-CTG-03"/>
    <x v="18"/>
    <s v="P009"/>
    <n v="7"/>
    <n v="0.1"/>
    <n v="36389"/>
    <n v="9"/>
    <x v="32"/>
    <s v="Steam Iron"/>
    <s v="Home Appliance"/>
    <n v="4560"/>
    <x v="236"/>
    <n v="3190"/>
    <n v="22330"/>
    <n v="9590"/>
    <x v="115"/>
    <x v="18"/>
    <x v="7"/>
    <x v="16"/>
  </r>
  <r>
    <s v="ORD-00999"/>
    <x v="350"/>
    <s v="CUS-DHA-019"/>
    <s v="R01"/>
    <s v="ST-DHA-04"/>
    <x v="28"/>
    <s v="P017"/>
    <n v="10"/>
    <n v="0.05"/>
    <n v="3922"/>
    <n v="1"/>
    <x v="7"/>
    <s v="Soybean Oil 5L"/>
    <s v="Grocery"/>
    <n v="370"/>
    <x v="289"/>
    <n v="290"/>
    <n v="2900"/>
    <n v="800"/>
    <x v="52"/>
    <x v="28"/>
    <x v="4"/>
    <x v="35"/>
  </r>
  <r>
    <s v="ORD-01000"/>
    <x v="28"/>
    <s v="CUS-KHL-007"/>
    <s v="R05"/>
    <s v="ST-KHL-03"/>
    <x v="13"/>
    <s v="P048"/>
    <n v="1"/>
    <n v="0.05"/>
    <n v="5799"/>
    <n v="8"/>
    <x v="30"/>
    <s v="Shoe Rack"/>
    <s v="Furniture"/>
    <n v="5320"/>
    <x v="133"/>
    <n v="3830"/>
    <n v="3830"/>
    <n v="1490"/>
    <x v="79"/>
    <x v="13"/>
    <x v="6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F159C-6BF6-4CED-95D2-FB9B9B663816}" name="PivotTable9" cacheId="0" applyNumberFormats="0" applyBorderFormats="0" applyFontFormats="0" applyPatternFormats="0" applyAlignmentFormats="0" applyWidthHeightFormats="1" dataCaption="Values" updatedVersion="8" minRefreshableVersion="5" rowGrandTotals="0" colGrandTotals="0" itemPrintTitles="1" createdVersion="8" indent="0" outline="1" outlineData="1" multipleFieldFilters="0" chartFormat="19" rowHeaderCaption="Region" colHeaderCaption="Customer Ratings">
  <location ref="K42:L52" firstHeaderRow="1" firstDataRow="1" firstDataCol="1"/>
  <pivotFields count="25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numFmtId="16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numFmtId="3" showAll="0"/>
    <pivotField showAll="0"/>
    <pivotField showAll="0"/>
    <pivotField numFmtId="3" showAll="0"/>
    <pivotField showAll="0">
      <items count="145">
        <item x="115"/>
        <item x="99"/>
        <item x="6"/>
        <item x="123"/>
        <item x="41"/>
        <item x="85"/>
        <item x="69"/>
        <item x="54"/>
        <item x="39"/>
        <item x="32"/>
        <item x="70"/>
        <item x="71"/>
        <item x="8"/>
        <item x="125"/>
        <item x="100"/>
        <item x="94"/>
        <item x="36"/>
        <item x="40"/>
        <item x="50"/>
        <item x="48"/>
        <item x="75"/>
        <item x="30"/>
        <item x="28"/>
        <item x="72"/>
        <item x="10"/>
        <item x="138"/>
        <item x="130"/>
        <item x="26"/>
        <item x="43"/>
        <item x="77"/>
        <item x="114"/>
        <item x="1"/>
        <item x="141"/>
        <item x="91"/>
        <item x="58"/>
        <item x="20"/>
        <item x="5"/>
        <item x="66"/>
        <item x="82"/>
        <item x="112"/>
        <item x="96"/>
        <item x="120"/>
        <item x="79"/>
        <item x="98"/>
        <item x="117"/>
        <item x="113"/>
        <item x="116"/>
        <item x="34"/>
        <item x="62"/>
        <item x="102"/>
        <item x="60"/>
        <item x="18"/>
        <item x="55"/>
        <item x="137"/>
        <item x="15"/>
        <item x="133"/>
        <item x="88"/>
        <item x="92"/>
        <item x="132"/>
        <item x="51"/>
        <item x="63"/>
        <item x="9"/>
        <item x="83"/>
        <item x="37"/>
        <item x="76"/>
        <item x="73"/>
        <item x="78"/>
        <item x="140"/>
        <item x="103"/>
        <item x="11"/>
        <item x="106"/>
        <item x="108"/>
        <item x="4"/>
        <item x="45"/>
        <item x="143"/>
        <item x="44"/>
        <item x="124"/>
        <item x="131"/>
        <item x="121"/>
        <item x="136"/>
        <item x="90"/>
        <item x="122"/>
        <item x="89"/>
        <item x="14"/>
        <item x="61"/>
        <item x="101"/>
        <item x="12"/>
        <item x="84"/>
        <item x="87"/>
        <item x="105"/>
        <item x="13"/>
        <item x="56"/>
        <item x="67"/>
        <item x="52"/>
        <item x="74"/>
        <item x="16"/>
        <item x="38"/>
        <item x="119"/>
        <item x="97"/>
        <item x="21"/>
        <item x="19"/>
        <item x="64"/>
        <item x="24"/>
        <item x="7"/>
        <item x="23"/>
        <item x="126"/>
        <item x="57"/>
        <item x="107"/>
        <item x="33"/>
        <item x="42"/>
        <item x="68"/>
        <item x="46"/>
        <item x="118"/>
        <item x="22"/>
        <item x="47"/>
        <item x="3"/>
        <item x="59"/>
        <item x="109"/>
        <item x="25"/>
        <item x="129"/>
        <item x="142"/>
        <item x="139"/>
        <item x="104"/>
        <item x="95"/>
        <item x="27"/>
        <item x="49"/>
        <item x="35"/>
        <item x="86"/>
        <item x="128"/>
        <item x="0"/>
        <item x="127"/>
        <item x="29"/>
        <item x="65"/>
        <item x="17"/>
        <item x="80"/>
        <item x="93"/>
        <item x="135"/>
        <item x="53"/>
        <item x="2"/>
        <item x="111"/>
        <item x="81"/>
        <item x="110"/>
        <item x="31"/>
        <item x="134"/>
        <item t="default"/>
      </items>
    </pivotField>
    <pivotField showAll="0"/>
    <pivotField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axis="axisRow" showAll="0" measureFilter="1" sortType="descending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10">
    <i>
      <x v="24"/>
    </i>
    <i>
      <x v="16"/>
    </i>
    <i>
      <x v="6"/>
    </i>
    <i>
      <x v="20"/>
    </i>
    <i>
      <x v="23"/>
    </i>
    <i>
      <x v="39"/>
    </i>
    <i>
      <x v="5"/>
    </i>
    <i>
      <x v="22"/>
    </i>
    <i>
      <x v="38"/>
    </i>
    <i>
      <x v="29"/>
    </i>
  </rowItems>
  <colItems count="1">
    <i/>
  </colItems>
  <dataFields count="1">
    <dataField name=" Sales_Amount" fld="15" baseField="0" baseItem="0" numFmtId="166"/>
  </dataFields>
  <formats count="27">
    <format dxfId="30">
      <pivotArea grandRow="1" outline="0" collapsedLevelsAreSubtotals="1" fieldPosition="0"/>
    </format>
    <format dxfId="29">
      <pivotArea field="21" type="button" dataOnly="0" labelOnly="1" outline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dataOnly="0" labelOnly="1" grandCol="1" outline="0" fieldPosition="0"/>
    </format>
    <format dxfId="23">
      <pivotArea type="origin" dataOnly="0" labelOnly="1" outline="0" fieldPosition="0"/>
    </format>
    <format dxfId="22">
      <pivotArea field="11" type="button" dataOnly="0" labelOnly="1" outline="0"/>
    </format>
    <format dxfId="21">
      <pivotArea type="topRight" dataOnly="0" labelOnly="1" outline="0" offset="A1" fieldPosition="0"/>
    </format>
    <format dxfId="20">
      <pivotArea type="topRight" dataOnly="0" labelOnly="1" outline="0" offset="B1" fieldPosition="0"/>
    </format>
    <format dxfId="19">
      <pivotArea type="topRight" dataOnly="0" labelOnly="1" outline="0" offset="C1" fieldPosition="0"/>
    </format>
    <format dxfId="18">
      <pivotArea type="topRight" dataOnly="0" labelOnly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1" type="button" dataOnly="0" labelOnly="1" outline="0"/>
    </format>
    <format dxfId="14">
      <pivotArea field="21" type="button" dataOnly="0" labelOnly="1" outline="0"/>
    </format>
    <format dxfId="13">
      <pivotArea type="origin" dataOnly="0" labelOnly="1" outline="0" fieldPosition="0"/>
    </format>
    <format dxfId="12">
      <pivotArea field="11" type="button" dataOnly="0" labelOnly="1" outline="0"/>
    </format>
    <format dxfId="11">
      <pivotArea type="topRight" dataOnly="0" labelOnly="1" outline="0" offset="A1" fieldPosition="0"/>
    </format>
    <format dxfId="10">
      <pivotArea type="topRight" dataOnly="0" labelOnly="1" outline="0" offset="B1" fieldPosition="0"/>
    </format>
    <format dxfId="9">
      <pivotArea type="topRight" dataOnly="0" labelOnly="1" outline="0" offset="C1" fieldPosition="0"/>
    </format>
    <format dxfId="8">
      <pivotArea field="22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fieldPosition="0">
        <references count="1">
          <reference field="22" count="10">
            <x v="5"/>
            <x v="6"/>
            <x v="16"/>
            <x v="20"/>
            <x v="22"/>
            <x v="23"/>
            <x v="24"/>
            <x v="29"/>
            <x v="38"/>
            <x v="39"/>
          </reference>
        </references>
      </pivotArea>
    </format>
    <format dxfId="5">
      <pivotArea dataOnly="0" labelOnly="1" fieldPosition="0">
        <references count="1">
          <reference field="22" count="10">
            <x v="5"/>
            <x v="6"/>
            <x v="16"/>
            <x v="20"/>
            <x v="22"/>
            <x v="23"/>
            <x v="24"/>
            <x v="29"/>
            <x v="38"/>
            <x v="39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2" type="count" evalOrder="-1" id="65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F7F9E-1DDB-45E9-8836-3C86C1225E48}" name="PivotTable3" cacheId="0" applyNumberFormats="0" applyBorderFormats="0" applyFontFormats="0" applyPatternFormats="0" applyAlignmentFormats="0" applyWidthHeightFormats="1" dataCaption="Values" updatedVersion="8" minRefreshableVersion="5" rowGrandTotals="0" colGrandTotals="0" itemPrintTitles="1" createdVersion="8" indent="0" outline="1" outlineData="1" multipleFieldFilters="0" chartFormat="19" rowHeaderCaption="Region" colHeaderCaption="Customer Ratings">
  <location ref="H25:L34" firstHeaderRow="1" firstDataRow="2" firstDataCol="1"/>
  <pivotFields count="25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axis="axisCol" numFmtId="16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numFmtId="3" showAll="0"/>
    <pivotField showAll="0"/>
    <pivotField showAll="0"/>
    <pivotField numFmtId="3" showAll="0"/>
    <pivotField showAll="0"/>
    <pivotField showAll="0"/>
    <pivotField axis="axisRow" showAll="0" sortType="de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4"/>
            </reference>
          </references>
        </pivotArea>
      </autoSortScope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21"/>
  </rowFields>
  <rowItems count="8">
    <i>
      <x v="2"/>
    </i>
    <i>
      <x v="3"/>
    </i>
    <i>
      <x v="5"/>
    </i>
    <i>
      <x v="7"/>
    </i>
    <i>
      <x v="4"/>
    </i>
    <i>
      <x/>
    </i>
    <i>
      <x v="1"/>
    </i>
    <i>
      <x v="6"/>
    </i>
  </rowItems>
  <colFields count="1">
    <field x="11"/>
  </colFields>
  <colItems count="4">
    <i>
      <x v="1"/>
    </i>
    <i>
      <x v="2"/>
    </i>
    <i>
      <x v="3"/>
    </i>
    <i>
      <x v="4"/>
    </i>
  </colItems>
  <dataFields count="1">
    <dataField name="Customers" fld="2" subtotal="count" baseField="0" baseItem="0"/>
  </dataFields>
  <formats count="42">
    <format dxfId="72">
      <pivotArea grandRow="1" outline="0" collapsedLevelsAreSubtotals="1" fieldPosition="0"/>
    </format>
    <format dxfId="71">
      <pivotArea field="21" type="button" dataOnly="0" labelOnly="1" outline="0" axis="axisRow" fieldPosition="0"/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collapsedLevelsAreSubtotals="1" fieldPosition="0">
        <references count="1">
          <reference field="21" count="0"/>
        </references>
      </pivotArea>
    </format>
    <format dxfId="65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64">
      <pivotArea dataOnly="0" labelOnly="1" grandCol="1" outline="0" fieldPosition="0"/>
    </format>
    <format dxfId="63">
      <pivotArea type="origin" dataOnly="0" labelOnly="1" outline="0" fieldPosition="0"/>
    </format>
    <format dxfId="62">
      <pivotArea field="11" type="button" dataOnly="0" labelOnly="1" outline="0" axis="axisCol" fieldPosition="0"/>
    </format>
    <format dxfId="61">
      <pivotArea dataOnly="0" labelOnly="1" fieldPosition="0">
        <references count="1">
          <reference field="11" count="1">
            <x v="1"/>
          </reference>
        </references>
      </pivotArea>
    </format>
    <format dxfId="60">
      <pivotArea dataOnly="0" labelOnly="1" fieldPosition="0">
        <references count="1">
          <reference field="11" count="1">
            <x v="2"/>
          </reference>
        </references>
      </pivotArea>
    </format>
    <format dxfId="59">
      <pivotArea type="topRight" dataOnly="0" labelOnly="1" outline="0" offset="A1" fieldPosition="0"/>
    </format>
    <format dxfId="58">
      <pivotArea type="topRight" dataOnly="0" labelOnly="1" outline="0" offset="B1" fieldPosition="0"/>
    </format>
    <format dxfId="57">
      <pivotArea dataOnly="0" labelOnly="1" fieldPosition="0">
        <references count="1">
          <reference field="11" count="1">
            <x v="3"/>
          </reference>
        </references>
      </pivotArea>
    </format>
    <format dxfId="56">
      <pivotArea dataOnly="0" labelOnly="1" fieldPosition="0">
        <references count="1">
          <reference field="11" count="1">
            <x v="4"/>
          </reference>
        </references>
      </pivotArea>
    </format>
    <format dxfId="55">
      <pivotArea type="topRight" dataOnly="0" labelOnly="1" outline="0" offset="C1" fieldPosition="0"/>
    </format>
    <format dxfId="54">
      <pivotArea type="topRight" dataOnly="0" labelOnly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1" type="button" dataOnly="0" labelOnly="1" outline="0" axis="axisRow" fieldPosition="0"/>
    </format>
    <format dxfId="50">
      <pivotArea dataOnly="0" labelOnly="1" fieldPosition="0">
        <references count="1">
          <reference field="21" count="0"/>
        </references>
      </pivotArea>
    </format>
    <format dxfId="49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48">
      <pivotArea outline="0" collapsedLevelsAreSubtotals="1" fieldPosition="0">
        <references count="1">
          <reference field="11" count="1" selected="0">
            <x v="4"/>
          </reference>
        </references>
      </pivotArea>
    </format>
    <format dxfId="47">
      <pivotArea outline="0" collapsedLevelsAreSubtotals="1" fieldPosition="0">
        <references count="1">
          <reference field="11" count="1" selected="0">
            <x v="3"/>
          </reference>
        </references>
      </pivotArea>
    </format>
    <format dxfId="46">
      <pivotArea outline="0" collapsedLevelsAreSubtotals="1" fieldPosition="0">
        <references count="1">
          <reference field="11" count="1" selected="0">
            <x v="2"/>
          </reference>
        </references>
      </pivotArea>
    </format>
    <format dxfId="45">
      <pivotArea outline="0" collapsedLevelsAreSubtotals="1" fieldPosition="0">
        <references count="1">
          <reference field="11" count="1" selected="0">
            <x v="1"/>
          </reference>
        </references>
      </pivotArea>
    </format>
    <format dxfId="44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43">
      <pivotArea field="21" type="button" dataOnly="0" labelOnly="1" outline="0" axis="axisRow" fieldPosition="0"/>
    </format>
    <format dxfId="42">
      <pivotArea type="origin" dataOnly="0" labelOnly="1" outline="0" fieldPosition="0"/>
    </format>
    <format dxfId="41">
      <pivotArea field="11" type="button" dataOnly="0" labelOnly="1" outline="0" axis="axisCol" fieldPosition="0"/>
    </format>
    <format dxfId="40">
      <pivotArea type="topRight" dataOnly="0" labelOnly="1" outline="0" offset="A1" fieldPosition="0"/>
    </format>
    <format dxfId="39">
      <pivotArea dataOnly="0" labelOnly="1" fieldPosition="0">
        <references count="1">
          <reference field="11" count="1">
            <x v="1"/>
          </reference>
        </references>
      </pivotArea>
    </format>
    <format dxfId="38">
      <pivotArea dataOnly="0" labelOnly="1" fieldPosition="0">
        <references count="1">
          <reference field="11" count="1">
            <x v="2"/>
          </reference>
        </references>
      </pivotArea>
    </format>
    <format dxfId="37">
      <pivotArea dataOnly="0" labelOnly="1" fieldPosition="0">
        <references count="1">
          <reference field="11" count="1">
            <x v="3"/>
          </reference>
        </references>
      </pivotArea>
    </format>
    <format dxfId="36">
      <pivotArea dataOnly="0" labelOnly="1" fieldPosition="0">
        <references count="1">
          <reference field="11" count="1">
            <x v="4"/>
          </reference>
        </references>
      </pivotArea>
    </format>
    <format dxfId="35">
      <pivotArea type="origin" dataOnly="0" labelOnly="1" outline="0" fieldPosition="0"/>
    </format>
    <format dxfId="34">
      <pivotArea field="11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1" type="button" dataOnly="0" labelOnly="1" outline="0" axis="axisRow" fieldPosition="0"/>
    </format>
    <format dxfId="31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</formats>
  <conditionalFormats count="4">
    <conditionalFormat priority="17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4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2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1" count="1" selected="0">
              <x v="1"/>
            </reference>
          </references>
        </pivotArea>
      </pivotAreas>
    </conditionalFormat>
  </conditionalFormats>
  <chartFormats count="5">
    <chartFormat chart="18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8" format="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1" count="1" selected="0">
            <x v="2"/>
          </reference>
        </references>
      </pivotArea>
    </chartFormat>
    <chartFormat chart="18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8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8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5F3D1-BA1C-471F-B869-5C9BA33E0051}" name="PivotTable6" cacheId="0" applyNumberFormats="0" applyBorderFormats="0" applyFontFormats="0" applyPatternFormats="0" applyAlignmentFormats="0" applyWidthHeightFormats="1" dataCaption="Values" updatedVersion="8" minRefreshableVersion="5" rowGrandTotals="0" colGrandTotals="0" itemPrintTitles="1" createdVersion="8" indent="0" outline="1" outlineData="1" multipleFieldFilters="0" chartFormat="19" rowHeaderCaption="Region" colHeaderCaption="Customer Ratings">
  <location ref="H42:I52" firstHeaderRow="1" firstDataRow="1" firstDataCol="1"/>
  <pivotFields count="25">
    <pivotField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3" showAll="0"/>
    <pivotField showAll="0"/>
    <pivotField numFmtId="165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numFmtId="3" showAll="0"/>
    <pivotField showAll="0"/>
    <pivotField showAll="0"/>
    <pivotField numFmtId="3" showAll="0"/>
    <pivotField showAll="0">
      <items count="145">
        <item x="115"/>
        <item x="99"/>
        <item x="6"/>
        <item x="123"/>
        <item x="41"/>
        <item x="85"/>
        <item x="69"/>
        <item x="54"/>
        <item x="39"/>
        <item x="32"/>
        <item x="70"/>
        <item x="71"/>
        <item x="8"/>
        <item x="125"/>
        <item x="100"/>
        <item x="94"/>
        <item x="36"/>
        <item x="40"/>
        <item x="50"/>
        <item x="48"/>
        <item x="75"/>
        <item x="30"/>
        <item x="28"/>
        <item x="72"/>
        <item x="10"/>
        <item x="138"/>
        <item x="130"/>
        <item x="26"/>
        <item x="43"/>
        <item x="77"/>
        <item x="114"/>
        <item x="1"/>
        <item x="141"/>
        <item x="91"/>
        <item x="58"/>
        <item x="20"/>
        <item x="5"/>
        <item x="66"/>
        <item x="82"/>
        <item x="112"/>
        <item x="96"/>
        <item x="120"/>
        <item x="79"/>
        <item x="98"/>
        <item x="117"/>
        <item x="113"/>
        <item x="116"/>
        <item x="34"/>
        <item x="62"/>
        <item x="102"/>
        <item x="60"/>
        <item x="18"/>
        <item x="55"/>
        <item x="137"/>
        <item x="15"/>
        <item x="133"/>
        <item x="88"/>
        <item x="92"/>
        <item x="132"/>
        <item x="51"/>
        <item x="63"/>
        <item x="9"/>
        <item x="83"/>
        <item x="37"/>
        <item x="76"/>
        <item x="73"/>
        <item x="78"/>
        <item x="140"/>
        <item x="103"/>
        <item x="11"/>
        <item x="106"/>
        <item x="108"/>
        <item x="4"/>
        <item x="45"/>
        <item x="143"/>
        <item x="44"/>
        <item x="124"/>
        <item x="131"/>
        <item x="121"/>
        <item x="136"/>
        <item x="90"/>
        <item x="122"/>
        <item x="89"/>
        <item x="14"/>
        <item x="61"/>
        <item x="101"/>
        <item x="12"/>
        <item x="84"/>
        <item x="87"/>
        <item x="105"/>
        <item x="13"/>
        <item x="56"/>
        <item x="67"/>
        <item x="52"/>
        <item x="74"/>
        <item x="16"/>
        <item x="38"/>
        <item x="119"/>
        <item x="97"/>
        <item x="21"/>
        <item x="19"/>
        <item x="64"/>
        <item x="24"/>
        <item x="7"/>
        <item x="23"/>
        <item x="126"/>
        <item x="57"/>
        <item x="107"/>
        <item x="33"/>
        <item x="42"/>
        <item x="68"/>
        <item x="46"/>
        <item x="118"/>
        <item x="22"/>
        <item x="47"/>
        <item x="3"/>
        <item x="59"/>
        <item x="109"/>
        <item x="25"/>
        <item x="129"/>
        <item x="142"/>
        <item x="139"/>
        <item x="104"/>
        <item x="95"/>
        <item x="27"/>
        <item x="49"/>
        <item x="35"/>
        <item x="86"/>
        <item x="128"/>
        <item x="0"/>
        <item x="127"/>
        <item x="29"/>
        <item x="65"/>
        <item x="17"/>
        <item x="80"/>
        <item x="93"/>
        <item x="135"/>
        <item x="53"/>
        <item x="2"/>
        <item x="111"/>
        <item x="81"/>
        <item x="110"/>
        <item x="31"/>
        <item x="134"/>
        <item t="default"/>
      </items>
    </pivotField>
    <pivotField showAll="0"/>
    <pivotField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axis="axisRow" showAll="0" measureFilter="1" sortType="descending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10">
    <i>
      <x v="25"/>
    </i>
    <i>
      <x v="1"/>
    </i>
    <i>
      <x v="10"/>
    </i>
    <i>
      <x v="8"/>
    </i>
    <i>
      <x v="18"/>
    </i>
    <i>
      <x v="3"/>
    </i>
    <i>
      <x v="9"/>
    </i>
    <i>
      <x v="15"/>
    </i>
    <i>
      <x v="14"/>
    </i>
    <i>
      <x v="12"/>
    </i>
  </rowItems>
  <colItems count="1">
    <i/>
  </colItems>
  <dataFields count="1">
    <dataField name=" Sales_Amount" fld="15" baseField="0" baseItem="0" numFmtId="166"/>
  </dataFields>
  <formats count="27">
    <format dxfId="99">
      <pivotArea grandRow="1" outline="0" collapsedLevelsAreSubtotals="1" fieldPosition="0"/>
    </format>
    <format dxfId="98">
      <pivotArea field="21" type="button" dataOnly="0" labelOnly="1" outline="0"/>
    </format>
    <format dxfId="97">
      <pivotArea grandRow="1" outline="0" collapsedLevelsAreSubtotals="1" fieldPosition="0"/>
    </format>
    <format dxfId="96">
      <pivotArea dataOnly="0" labelOnly="1" grandRow="1" outline="0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dataOnly="0" labelOnly="1" grandCol="1" outline="0" fieldPosition="0"/>
    </format>
    <format dxfId="92">
      <pivotArea type="origin" dataOnly="0" labelOnly="1" outline="0" fieldPosition="0"/>
    </format>
    <format dxfId="91">
      <pivotArea field="11" type="button" dataOnly="0" labelOnly="1" outline="0"/>
    </format>
    <format dxfId="90">
      <pivotArea type="topRight" dataOnly="0" labelOnly="1" outline="0" offset="A1" fieldPosition="0"/>
    </format>
    <format dxfId="89">
      <pivotArea type="topRight" dataOnly="0" labelOnly="1" outline="0" offset="B1" fieldPosition="0"/>
    </format>
    <format dxfId="88">
      <pivotArea type="topRight" dataOnly="0" labelOnly="1" outline="0" offset="C1" fieldPosition="0"/>
    </format>
    <format dxfId="87">
      <pivotArea type="topRight" dataOnly="0" labelOnly="1" outline="0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21" type="button" dataOnly="0" labelOnly="1" outline="0"/>
    </format>
    <format dxfId="83">
      <pivotArea field="21" type="button" dataOnly="0" labelOnly="1" outline="0"/>
    </format>
    <format dxfId="82">
      <pivotArea type="origin" dataOnly="0" labelOnly="1" outline="0" fieldPosition="0"/>
    </format>
    <format dxfId="81">
      <pivotArea field="11" type="button" dataOnly="0" labelOnly="1" outline="0"/>
    </format>
    <format dxfId="80">
      <pivotArea type="topRight" dataOnly="0" labelOnly="1" outline="0" offset="A1" fieldPosition="0"/>
    </format>
    <format dxfId="79">
      <pivotArea type="topRight" dataOnly="0" labelOnly="1" outline="0" offset="B1" fieldPosition="0"/>
    </format>
    <format dxfId="78">
      <pivotArea type="topRight" dataOnly="0" labelOnly="1" outline="0" offset="C1" fieldPosition="0"/>
    </format>
    <format dxfId="77">
      <pivotArea field="22" type="button" dataOnly="0" labelOnly="1" outline="0" axis="axisRow" fieldPosition="0"/>
    </format>
    <format dxfId="76">
      <pivotArea dataOnly="0" labelOnly="1" outline="0" axis="axisValues" fieldPosition="0"/>
    </format>
    <format dxfId="75">
      <pivotArea dataOnly="0" labelOnly="1" fieldPosition="0">
        <references count="1">
          <reference field="22" count="10">
            <x v="1"/>
            <x v="3"/>
            <x v="8"/>
            <x v="9"/>
            <x v="10"/>
            <x v="12"/>
            <x v="14"/>
            <x v="15"/>
            <x v="18"/>
            <x v="25"/>
          </reference>
        </references>
      </pivotArea>
    </format>
    <format dxfId="74">
      <pivotArea dataOnly="0" labelOnly="1" fieldPosition="0">
        <references count="1">
          <reference field="22" count="10">
            <x v="1"/>
            <x v="3"/>
            <x v="8"/>
            <x v="9"/>
            <x v="10"/>
            <x v="12"/>
            <x v="14"/>
            <x v="15"/>
            <x v="18"/>
            <x v="25"/>
          </reference>
        </references>
      </pivotArea>
    </format>
    <format dxfId="7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22" type="count" evalOrder="-1" id="6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0516D-6BEE-446F-BABD-B8084E77D1AF}" name="PivotTable4" cacheId="0" applyNumberFormats="0" applyBorderFormats="0" applyFontFormats="0" applyPatternFormats="0" applyAlignmentFormats="0" applyWidthHeightFormats="1" dataCaption="Values" updatedVersion="8" minRefreshableVersion="5" itemPrintTitles="1" createdVersion="8" indent="0" compact="0" compactData="0" multipleFieldFilters="0" chartFormat="10">
  <location ref="K10:M19" firstHeaderRow="0" firstDataRow="1" firstDataCol="1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3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>
      <items count="9">
        <item x="5"/>
        <item x="7"/>
        <item x="4"/>
        <item x="6"/>
        <item x="2"/>
        <item x="1"/>
        <item x="0"/>
        <item x="3"/>
        <item t="default"/>
      </items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5" baseField="0" baseItem="0" numFmtId="166"/>
    <dataField name="Target" fld="9" baseField="0" baseItem="0" numFmtId="166"/>
  </dataFields>
  <formats count="43">
    <format dxfId="142">
      <pivotArea outline="0" fieldPosition="0">
        <references count="1">
          <reference field="21" count="0" selected="0"/>
        </references>
      </pivotArea>
    </format>
    <format dxfId="141">
      <pivotArea grandRow="1" outline="0" collapsedLevelsAreSubtotals="1" fieldPosition="0"/>
    </format>
    <format dxfId="1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8">
      <pivotArea field="21" type="button" dataOnly="0" labelOnly="1" outline="0" axis="axisRow" fieldPosition="0"/>
    </format>
    <format dxfId="1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outline="0" fieldPosition="0">
        <references count="1">
          <reference field="4294967294" count="1" selected="0">
            <x v="0"/>
          </reference>
        </references>
      </pivotArea>
    </format>
    <format dxfId="133">
      <pivotArea outline="0" fieldPosition="0">
        <references count="1">
          <reference field="4294967294" count="1" selected="0">
            <x v="1"/>
          </reference>
        </references>
      </pivotArea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grandRow="1" outline="0" collapsedLevelsAreSubtotals="1" fieldPosition="0"/>
    </format>
    <format dxfId="129">
      <pivotArea dataOnly="0" labelOnly="1" grandRow="1" outline="0" fieldPosition="0"/>
    </format>
    <format dxfId="128">
      <pivotArea field="21" type="button" dataOnly="0" labelOnly="1" outline="0" axis="axisRow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21" type="button" dataOnly="0" labelOnly="1" outline="0" axis="axisRow" fieldPosition="0"/>
    </format>
    <format dxfId="123">
      <pivotArea dataOnly="0" labelOnly="1" outline="0" fieldPosition="0">
        <references count="1">
          <reference field="21" count="0"/>
        </references>
      </pivotArea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0">
      <pivotArea field="21" type="button" dataOnly="0" labelOnly="1" outline="0" axis="axisRow" fieldPosition="0"/>
    </format>
    <format dxfId="119">
      <pivotArea dataOnly="0" labelOnly="1" outline="0" fieldPosition="0">
        <references count="1">
          <reference field="21" count="0"/>
        </references>
      </pivotArea>
    </format>
    <format dxfId="118">
      <pivotArea dataOnly="0" labelOnly="1" grandRow="1" outline="0" fieldPosition="0"/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4">
      <pivotArea field="21" type="button" dataOnly="0" labelOnly="1" outline="0" axis="axisRow" fieldPosition="0"/>
    </format>
    <format dxfId="113">
      <pivotArea outline="0" fieldPosition="0">
        <references count="1">
          <reference field="21" count="0" selected="0"/>
        </references>
      </pivotArea>
    </format>
    <format dxfId="112">
      <pivotArea field="21" type="button" dataOnly="0" labelOnly="1" outline="0" axis="axisRow" fieldPosition="0"/>
    </format>
    <format dxfId="111">
      <pivotArea dataOnly="0" labelOnly="1" outline="0" fieldPosition="0">
        <references count="1">
          <reference field="21" count="0"/>
        </references>
      </pivotArea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field="21" grandRow="1" outline="0" axis="axisRow" fieldPosition="0">
        <references count="1">
          <reference field="4294967294" count="1" selected="0">
            <x v="0"/>
          </reference>
        </references>
      </pivotArea>
    </format>
    <format dxfId="108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  <format dxfId="107">
      <pivotArea field="21" grandRow="1" outline="0" axis="axisRow" fieldPosition="0">
        <references count="1">
          <reference field="4294967294" count="1" selected="0">
            <x v="0"/>
          </reference>
        </references>
      </pivotArea>
    </format>
    <format dxfId="106">
      <pivotArea dataOnly="0" labelOnly="1" outline="0" fieldPosition="0">
        <references count="1">
          <reference field="21" count="1">
            <x v="7"/>
          </reference>
        </references>
      </pivotArea>
    </format>
    <format dxfId="105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  <format dxfId="104">
      <pivotArea field="21" grandRow="1" outline="0" axis="axisRow" fieldPosition="0">
        <references count="1">
          <reference field="4294967294" count="1" selected="0">
            <x v="0"/>
          </reference>
        </references>
      </pivotArea>
    </format>
    <format dxfId="103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  <format dxfId="102">
      <pivotArea field="21" type="button" dataOnly="0" labelOnly="1" outline="0" axis="axisRow" fieldPosition="0"/>
    </format>
    <format dxfId="1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0">
      <pivotArea dataOnly="0" labelOnly="1" grandRow="1" outline="0" fieldPosition="0"/>
    </format>
  </formats>
  <chartFormats count="7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1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4994D-D607-42F9-B9FD-A81104A255DB}" name="PivotTable5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0">
  <location ref="H10:I19" firstHeaderRow="1" firstDataRow="1" firstDataCol="1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3" outline="0" showAll="0"/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 sortType="de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1"/>
  </rowFields>
  <rowItems count="9">
    <i>
      <x v="6"/>
    </i>
    <i>
      <x v="1"/>
    </i>
    <i>
      <x/>
    </i>
    <i>
      <x v="4"/>
    </i>
    <i>
      <x v="5"/>
    </i>
    <i>
      <x v="7"/>
    </i>
    <i>
      <x v="3"/>
    </i>
    <i>
      <x v="2"/>
    </i>
    <i t="grand">
      <x/>
    </i>
  </rowItems>
  <colItems count="1">
    <i/>
  </colItems>
  <dataFields count="1">
    <dataField name="Average Delivery Days" fld="10" subtotal="average" baseField="21" baseItem="0" numFmtId="2"/>
  </dataFields>
  <formats count="12">
    <format dxfId="154">
      <pivotArea outline="0" collapsedLevelsAreSubtotals="1" fieldPosition="0"/>
    </format>
    <format dxfId="153">
      <pivotArea outline="0" collapsedLevelsAreSubtotals="1" fieldPosition="0"/>
    </format>
    <format dxfId="152">
      <pivotArea field="21" type="button" dataOnly="0" labelOnly="1" outline="0" axis="axisRow" fieldPosition="0"/>
    </format>
    <format dxfId="151">
      <pivotArea dataOnly="0" labelOnly="1" outline="0" axis="axisValues" fieldPosition="0"/>
    </format>
    <format dxfId="150">
      <pivotArea dataOnly="0" labelOnly="1" grandRow="1" outline="0" fieldPosition="0"/>
    </format>
    <format dxfId="149">
      <pivotArea grandRow="1" outline="0" collapsedLevelsAreSubtotals="1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21" type="button" dataOnly="0" labelOnly="1" outline="0" axis="axisRow" fieldPosition="0"/>
    </format>
    <format dxfId="145">
      <pivotArea dataOnly="0" labelOnly="1" outline="0" fieldPosition="0">
        <references count="1">
          <reference field="21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2FEB9-64B9-49F9-BAA5-0294A23C06F0}" name="PivotTable2" cacheId="0" applyNumberFormats="0" applyBorderFormats="0" applyFontFormats="0" applyPatternFormats="0" applyAlignmentFormats="0" applyWidthHeightFormats="1" dataCaption="Values" updatedVersion="8" minRefreshableVersion="5" itemPrintTitles="1" createdVersion="8" indent="0" compact="0" compactData="0" multipleFieldFilters="0">
  <location ref="A19:E28" firstHeaderRow="0" firstDataRow="1" firstDataCol="1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3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dataField="1"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 sortType="descending">
      <items count="9">
        <item x="5"/>
        <item x="7"/>
        <item x="6"/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outline="0" showAl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21"/>
  </rowFields>
  <rowItems count="9">
    <i>
      <x v="4"/>
    </i>
    <i>
      <x v="7"/>
    </i>
    <i>
      <x v="5"/>
    </i>
    <i>
      <x v="3"/>
    </i>
    <i>
      <x v="2"/>
    </i>
    <i>
      <x/>
    </i>
    <i>
      <x v="1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ales" fld="15" baseField="0" baseItem="0" numFmtId="166"/>
    <dataField name="Sales Rank" fld="15" baseField="21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Target" fld="9" baseField="0" baseItem="0" numFmtId="166"/>
    <dataField name=" Target Achieved Ratio" fld="24" baseField="0" baseItem="0" numFmtId="10"/>
  </dataFields>
  <formats count="45">
    <format dxfId="199">
      <pivotArea outline="0" fieldPosition="0">
        <references count="1">
          <reference field="21" count="0" selected="0"/>
        </references>
      </pivotArea>
    </format>
    <format dxfId="198">
      <pivotArea grandRow="1" outline="0" collapsedLevelsAreSubtotals="1" fieldPosition="0"/>
    </format>
    <format dxfId="197">
      <pivotArea outline="0" fieldPosition="0">
        <references count="1">
          <reference field="4294967294" count="1" selected="0">
            <x v="3"/>
          </reference>
        </references>
      </pivotArea>
    </format>
    <format dxfId="19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92">
      <pivotArea outline="0" fieldPosition="0">
        <references count="1">
          <reference field="4294967294" count="1">
            <x v="1"/>
          </reference>
        </references>
      </pivotArea>
    </format>
    <format dxfId="19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0">
      <pivotArea field="21" type="button" dataOnly="0" labelOnly="1" outline="0" axis="axisRow" fieldPosition="0"/>
    </format>
    <format dxfId="18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88">
      <pivotArea grandRow="1" outline="0" collapsedLevelsAreSubtotals="1" fieldPosition="0"/>
    </format>
    <format dxfId="187">
      <pivotArea dataOnly="0" labelOnly="1" grandRow="1" outline="0" fieldPosition="0"/>
    </format>
    <format dxfId="186">
      <pivotArea outline="0" fieldPosition="0">
        <references count="1">
          <reference field="4294967294" count="1" selected="0">
            <x v="0"/>
          </reference>
        </references>
      </pivotArea>
    </format>
    <format dxfId="185">
      <pivotArea outline="0" fieldPosition="0">
        <references count="1">
          <reference field="4294967294" count="1" selected="0">
            <x v="2"/>
          </reference>
        </references>
      </pivotArea>
    </format>
    <format dxfId="184">
      <pivotArea grandRow="1" outline="0" collapsedLevelsAreSubtotals="1" fieldPosition="0"/>
    </format>
    <format dxfId="183">
      <pivotArea dataOnly="0" labelOnly="1" grandRow="1" outline="0" fieldPosition="0"/>
    </format>
    <format dxfId="182">
      <pivotArea dataOnly="0" labelOnly="1" grandRow="1" outline="0" fieldPosition="0"/>
    </format>
    <format dxfId="181">
      <pivotArea field="21" type="button" dataOnly="0" labelOnly="1" outline="0" axis="axisRow" fieldPosition="0"/>
    </format>
    <format dxfId="1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21" type="button" dataOnly="0" labelOnly="1" outline="0" axis="axisRow" fieldPosition="0"/>
    </format>
    <format dxfId="176">
      <pivotArea dataOnly="0" labelOnly="1" outline="0" fieldPosition="0">
        <references count="1">
          <reference field="21" count="0"/>
        </references>
      </pivotArea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3">
      <pivotArea field="21" type="button" dataOnly="0" labelOnly="1" outline="0" axis="axisRow" fieldPosition="0"/>
    </format>
    <format dxfId="1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1">
      <pivotArea grandRow="1" outline="0" collapsedLevelsAreSubtotals="1" fieldPosition="0"/>
    </format>
    <format dxfId="170">
      <pivotArea dataOnly="0" labelOnly="1" grandRow="1" outline="0" fieldPosition="0"/>
    </format>
    <format dxfId="169">
      <pivotArea field="21" type="button" dataOnly="0" labelOnly="1" outline="0" axis="axisRow" fieldPosition="0"/>
    </format>
    <format dxfId="16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7">
      <pivotArea grandRow="1" outline="0" collapsedLevelsAreSubtotals="1" fieldPosition="0"/>
    </format>
    <format dxfId="166">
      <pivotArea dataOnly="0" labelOnly="1" grandRow="1" outline="0" fieldPosition="0"/>
    </format>
    <format dxfId="165">
      <pivotArea grandRow="1" outline="0" collapsedLevelsAreSubtotals="1" fieldPosition="0"/>
    </format>
    <format dxfId="164">
      <pivotArea dataOnly="0" labelOnly="1" grandRow="1" outline="0" fieldPosition="0"/>
    </format>
    <format dxfId="163">
      <pivotArea field="21" type="button" dataOnly="0" labelOnly="1" outline="0" axis="axisRow" fieldPosition="0"/>
    </format>
    <format dxfId="162">
      <pivotArea dataOnly="0" labelOnly="1" outline="0" fieldPosition="0">
        <references count="1">
          <reference field="21" count="0"/>
        </references>
      </pivotArea>
    </format>
    <format dxfId="161">
      <pivotArea dataOnly="0" labelOnly="1" grandRow="1" outline="0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21" type="button" dataOnly="0" labelOnly="1" outline="0" axis="axisRow" fieldPosition="0"/>
    </format>
    <format dxfId="157">
      <pivotArea dataOnly="0" labelOnly="1" outline="0" fieldPosition="0">
        <references count="1">
          <reference field="21" count="0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2">
    <conditionalFormat priority="19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1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2">
            <reference field="4294967294" count="1" selected="0">
              <x v="3"/>
            </reference>
            <reference field="21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93BB2-440E-42F6-95B5-38E7244F4D5B}" name="Key Performance Indicators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11:D12" firstHeaderRow="0" firstDataRow="1" firstDataCol="0"/>
  <pivotFields count="25">
    <pivotField dataField="1" showAll="0"/>
    <pivotField numFmtId="164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dataField="1" numFmtId="3" showAll="0"/>
    <pivotField showAll="0"/>
    <pivotField numFmtId="165" showAll="0"/>
    <pivotField showAll="0"/>
    <pivotField showAll="0"/>
    <pivotField showAll="0"/>
    <pivotField dataField="1" numFmtId="3" showAll="0"/>
    <pivotField showAll="0"/>
    <pivotField showAll="0"/>
    <pivotField numFmtId="3"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Orders" fld="0" subtotal="count" baseField="0" baseItem="1" numFmtId="166"/>
    <dataField name="Total Sales" fld="15" baseField="0" baseItem="0" numFmtId="166"/>
    <dataField name="Total Target" fld="9" baseField="0" baseItem="0" numFmtId="166"/>
    <dataField name=" Target Achieved Ratio" fld="24" baseField="0" baseItem="0" numFmtId="10"/>
  </dataFields>
  <formats count="18">
    <format dxfId="2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16">
      <pivotArea outline="0" collapsedLevelsAreSubtotals="1" fieldPosition="0"/>
    </format>
    <format dxfId="2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EE8BF-8A63-4576-AA59-2D58A32076DE}" name="PivotTable7" cacheId="0" applyNumberFormats="0" applyBorderFormats="0" applyFontFormats="0" applyPatternFormats="0" applyAlignmentFormats="0" applyWidthHeightFormats="1" dataCaption="Values" updatedVersion="8" minRefreshableVersion="5" showDrill="0" rowGrandTotals="0" colGrandTotals="0" itemPrintTitles="1" createdVersion="8" indent="0" compact="0" compactData="0" multipleFieldFilters="0">
  <location ref="A35:C45" firstHeaderRow="1" firstDataRow="1" firstDataCol="2"/>
  <pivotFields count="25">
    <pivotField compact="0" outline="0" showAll="0" defaultSubtotal="0"/>
    <pivotField compact="0" numFmtId="164" outline="0" showAll="0" defaultSubtotal="0">
      <items count="448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defaultSubtotal="0">
      <items count="48">
        <item sd="0" x="47"/>
        <item x="8"/>
        <item x="33"/>
        <item x="22"/>
        <item x="12"/>
        <item x="10"/>
        <item x="41"/>
        <item x="23"/>
        <item x="15"/>
        <item x="39"/>
        <item x="18"/>
        <item x="37"/>
        <item x="44"/>
        <item x="28"/>
        <item x="14"/>
        <item x="6"/>
        <item x="9"/>
        <item x="35"/>
        <item x="45"/>
        <item x="36"/>
        <item x="16"/>
        <item x="24"/>
        <item x="29"/>
        <item x="13"/>
        <item x="17"/>
        <item x="11"/>
        <item x="3"/>
        <item x="19"/>
        <item x="31"/>
        <item x="43"/>
        <item x="1"/>
        <item x="46"/>
        <item x="26"/>
        <item x="2"/>
        <item x="40"/>
        <item x="30"/>
        <item x="7"/>
        <item x="27"/>
        <item x="42"/>
        <item x="4"/>
        <item x="21"/>
        <item x="0"/>
        <item x="34"/>
        <item x="20"/>
        <item x="38"/>
        <item x="32"/>
        <item x="5"/>
        <item x="25"/>
      </items>
    </pivotField>
    <pivotField compact="0" outline="0" showAll="0" defaultSubtotal="0"/>
    <pivotField compact="0" outline="0" showAll="0" defaultSubtotal="0"/>
    <pivotField compact="0" numFmtId="9" outline="0" showAll="0" defaultSubtotal="0"/>
    <pivotField compact="0" numFmtId="3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3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axis="axisRow" compact="0" outline="0" showAll="0" sortType="descending" defaultSubtotal="0">
      <items count="48">
        <item x="19"/>
        <item x="5"/>
        <item x="13"/>
        <item x="2"/>
        <item x="4"/>
        <item x="26"/>
        <item x="20"/>
        <item x="1"/>
        <item x="9"/>
        <item x="46"/>
        <item x="40"/>
        <item x="44"/>
        <item x="38"/>
        <item x="12"/>
        <item x="47"/>
        <item x="30"/>
        <item x="7"/>
        <item x="34"/>
        <item x="3"/>
        <item x="18"/>
        <item x="10"/>
        <item x="21"/>
        <item x="36"/>
        <item x="29"/>
        <item x="15"/>
        <item x="14"/>
        <item x="41"/>
        <item x="35"/>
        <item x="11"/>
        <item x="32"/>
        <item x="28"/>
        <item x="33"/>
        <item x="23"/>
        <item x="25"/>
        <item x="37"/>
        <item x="16"/>
        <item x="17"/>
        <item x="42"/>
        <item x="45"/>
        <item x="8"/>
        <item x="22"/>
        <item x="39"/>
        <item x="31"/>
        <item x="24"/>
        <item x="0"/>
        <item x="6"/>
        <item x="43"/>
        <item x="2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8">
        <item x="5"/>
        <item x="7"/>
        <item x="4"/>
        <item x="6"/>
        <item x="2"/>
        <item x="1"/>
        <item x="0"/>
        <item x="3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5"/>
    <field x="20"/>
  </rowFields>
  <rowItems count="10">
    <i>
      <x v="1"/>
      <x v="39"/>
    </i>
    <i>
      <x v="2"/>
      <x v="31"/>
    </i>
    <i>
      <x v="9"/>
      <x v="41"/>
    </i>
    <i>
      <x v="10"/>
      <x v="19"/>
    </i>
    <i>
      <x v="12"/>
      <x v="11"/>
    </i>
    <i>
      <x v="15"/>
      <x v="45"/>
    </i>
    <i>
      <x v="20"/>
      <x v="35"/>
    </i>
    <i>
      <x v="23"/>
      <x v="2"/>
    </i>
    <i>
      <x v="27"/>
      <x/>
    </i>
    <i>
      <x v="31"/>
      <x v="9"/>
    </i>
  </rowItems>
  <colItems count="1">
    <i/>
  </colItems>
  <dataFields count="1">
    <dataField name="Sales" fld="15" baseField="0" baseItem="0" numFmtId="166"/>
  </dataFields>
  <formats count="49">
    <format dxfId="266">
      <pivotArea grandRow="1" outline="0" collapsedLevelsAreSubtotals="1" fieldPosition="0"/>
    </format>
    <format dxfId="265">
      <pivotArea field="21" type="button" dataOnly="0" labelOnly="1" outline="0"/>
    </format>
    <format dxfId="264">
      <pivotArea grandRow="1" outline="0" collapsedLevelsAreSubtotals="1" fieldPosition="0"/>
    </format>
    <format dxfId="263">
      <pivotArea dataOnly="0" labelOnly="1" grandRow="1" outline="0" fieldPosition="0"/>
    </format>
    <format dxfId="262">
      <pivotArea grandRow="1" outline="0" collapsedLevelsAreSubtotals="1" fieldPosition="0"/>
    </format>
    <format dxfId="261">
      <pivotArea dataOnly="0" labelOnly="1" grandRow="1" outline="0" fieldPosition="0"/>
    </format>
    <format dxfId="260">
      <pivotArea field="21" type="button" dataOnly="0" labelOnly="1" outline="0"/>
    </format>
    <format dxfId="259">
      <pivotArea field="21" type="button" dataOnly="0" labelOnly="1" outline="0"/>
    </format>
    <format dxfId="258">
      <pivotArea dataOnly="0" labelOnly="1" outline="0" fieldPosition="0">
        <references count="1">
          <reference field="5" count="0"/>
        </references>
      </pivotArea>
    </format>
    <format dxfId="257">
      <pivotArea dataOnly="0" labelOnly="1" outline="0" offset="A256" fieldPosition="0">
        <references count="1">
          <reference field="5" count="1">
            <x v="0"/>
          </reference>
        </references>
      </pivotArea>
    </format>
    <format dxfId="256">
      <pivotArea dataOnly="0" labelOnly="1" outline="0" fieldPosition="0">
        <references count="1">
          <reference field="5" count="4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255">
      <pivotArea dataOnly="0" labelOnly="1" outline="0" fieldPosition="0">
        <references count="1">
          <reference field="5" count="1">
            <x v="0"/>
          </reference>
        </references>
      </pivotArea>
    </format>
    <format dxfId="254">
      <pivotArea dataOnly="0" labelOnly="1" outline="0" fieldPosition="0">
        <references count="1">
          <reference field="5" count="1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253">
      <pivotArea dataOnly="0" labelOnly="1" outline="0" fieldPosition="0">
        <references count="1">
          <reference field="5" count="29"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252">
      <pivotArea outline="0" collapsedLevelsAreSubtotals="1" fieldPosition="0"/>
    </format>
    <format dxfId="251">
      <pivotArea dataOnly="0" labelOnly="1" outline="0" fieldPosition="0">
        <references count="1">
          <reference field="5" count="10">
            <x v="1"/>
            <x v="2"/>
            <x v="9"/>
            <x v="10"/>
            <x v="12"/>
            <x v="15"/>
            <x v="20"/>
            <x v="23"/>
            <x v="27"/>
            <x v="31"/>
          </reference>
        </references>
      </pivotArea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field="5" type="button" dataOnly="0" labelOnly="1" outline="0" axis="axisRow" fieldPosition="0"/>
    </format>
    <format dxfId="247">
      <pivotArea field="20" type="button" dataOnly="0" labelOnly="1" outline="0" axis="axisRow" fieldPosition="1"/>
    </format>
    <format dxfId="246">
      <pivotArea dataOnly="0" labelOnly="1" outline="0" fieldPosition="0">
        <references count="1">
          <reference field="5" count="10">
            <x v="1"/>
            <x v="2"/>
            <x v="9"/>
            <x v="10"/>
            <x v="12"/>
            <x v="15"/>
            <x v="20"/>
            <x v="23"/>
            <x v="27"/>
            <x v="31"/>
          </reference>
        </references>
      </pivotArea>
    </format>
    <format dxfId="245">
      <pivotArea dataOnly="0" labelOnly="1" outline="0" fieldPosition="0">
        <references count="2">
          <reference field="5" count="1" selected="0">
            <x v="1"/>
          </reference>
          <reference field="20" count="1">
            <x v="39"/>
          </reference>
        </references>
      </pivotArea>
    </format>
    <format dxfId="244">
      <pivotArea dataOnly="0" labelOnly="1" outline="0" fieldPosition="0">
        <references count="2">
          <reference field="5" count="1" selected="0">
            <x v="2"/>
          </reference>
          <reference field="20" count="1">
            <x v="31"/>
          </reference>
        </references>
      </pivotArea>
    </format>
    <format dxfId="243">
      <pivotArea dataOnly="0" labelOnly="1" outline="0" fieldPosition="0">
        <references count="2">
          <reference field="5" count="1" selected="0">
            <x v="9"/>
          </reference>
          <reference field="20" count="1">
            <x v="41"/>
          </reference>
        </references>
      </pivotArea>
    </format>
    <format dxfId="242">
      <pivotArea dataOnly="0" labelOnly="1" outline="0" fieldPosition="0">
        <references count="2">
          <reference field="5" count="1" selected="0">
            <x v="10"/>
          </reference>
          <reference field="20" count="1">
            <x v="19"/>
          </reference>
        </references>
      </pivotArea>
    </format>
    <format dxfId="241">
      <pivotArea dataOnly="0" labelOnly="1" outline="0" fieldPosition="0">
        <references count="2">
          <reference field="5" count="1" selected="0">
            <x v="12"/>
          </reference>
          <reference field="20" count="1">
            <x v="11"/>
          </reference>
        </references>
      </pivotArea>
    </format>
    <format dxfId="240">
      <pivotArea dataOnly="0" labelOnly="1" outline="0" fieldPosition="0">
        <references count="2">
          <reference field="5" count="1" selected="0">
            <x v="15"/>
          </reference>
          <reference field="20" count="1">
            <x v="45"/>
          </reference>
        </references>
      </pivotArea>
    </format>
    <format dxfId="239">
      <pivotArea dataOnly="0" labelOnly="1" outline="0" fieldPosition="0">
        <references count="2">
          <reference field="5" count="1" selected="0">
            <x v="20"/>
          </reference>
          <reference field="20" count="1">
            <x v="35"/>
          </reference>
        </references>
      </pivotArea>
    </format>
    <format dxfId="238">
      <pivotArea dataOnly="0" labelOnly="1" outline="0" fieldPosition="0">
        <references count="2">
          <reference field="5" count="1" selected="0">
            <x v="23"/>
          </reference>
          <reference field="20" count="1">
            <x v="2"/>
          </reference>
        </references>
      </pivotArea>
    </format>
    <format dxfId="237">
      <pivotArea dataOnly="0" labelOnly="1" outline="0" fieldPosition="0">
        <references count="2">
          <reference field="5" count="1" selected="0">
            <x v="27"/>
          </reference>
          <reference field="20" count="1">
            <x v="0"/>
          </reference>
        </references>
      </pivotArea>
    </format>
    <format dxfId="236">
      <pivotArea dataOnly="0" labelOnly="1" outline="0" fieldPosition="0">
        <references count="2">
          <reference field="5" count="1" selected="0">
            <x v="31"/>
          </reference>
          <reference field="20" count="1">
            <x v="9"/>
          </reference>
        </references>
      </pivotArea>
    </format>
    <format dxfId="235">
      <pivotArea dataOnly="0" labelOnly="1" outline="0" axis="axisValues" fieldPosition="0"/>
    </format>
    <format dxfId="234">
      <pivotArea field="5" type="button" dataOnly="0" labelOnly="1" outline="0" axis="axisRow" fieldPosition="0"/>
    </format>
    <format dxfId="233">
      <pivotArea field="20" type="button" dataOnly="0" labelOnly="1" outline="0" axis="axisRow" fieldPosition="1"/>
    </format>
    <format dxfId="232">
      <pivotArea dataOnly="0" labelOnly="1" outline="0" fieldPosition="0">
        <references count="2">
          <reference field="5" count="1" selected="0">
            <x v="1"/>
          </reference>
          <reference field="20" count="1">
            <x v="39"/>
          </reference>
        </references>
      </pivotArea>
    </format>
    <format dxfId="231">
      <pivotArea dataOnly="0" labelOnly="1" outline="0" fieldPosition="0">
        <references count="2">
          <reference field="5" count="1" selected="0">
            <x v="2"/>
          </reference>
          <reference field="20" count="1">
            <x v="31"/>
          </reference>
        </references>
      </pivotArea>
    </format>
    <format dxfId="230">
      <pivotArea dataOnly="0" labelOnly="1" outline="0" fieldPosition="0">
        <references count="2">
          <reference field="5" count="1" selected="0">
            <x v="9"/>
          </reference>
          <reference field="20" count="1">
            <x v="41"/>
          </reference>
        </references>
      </pivotArea>
    </format>
    <format dxfId="229">
      <pivotArea dataOnly="0" labelOnly="1" outline="0" fieldPosition="0">
        <references count="2">
          <reference field="5" count="1" selected="0">
            <x v="10"/>
          </reference>
          <reference field="20" count="1">
            <x v="19"/>
          </reference>
        </references>
      </pivotArea>
    </format>
    <format dxfId="228">
      <pivotArea dataOnly="0" labelOnly="1" outline="0" fieldPosition="0">
        <references count="2">
          <reference field="5" count="1" selected="0">
            <x v="12"/>
          </reference>
          <reference field="20" count="1">
            <x v="11"/>
          </reference>
        </references>
      </pivotArea>
    </format>
    <format dxfId="227">
      <pivotArea dataOnly="0" labelOnly="1" outline="0" fieldPosition="0">
        <references count="2">
          <reference field="5" count="1" selected="0">
            <x v="15"/>
          </reference>
          <reference field="20" count="1">
            <x v="45"/>
          </reference>
        </references>
      </pivotArea>
    </format>
    <format dxfId="226">
      <pivotArea dataOnly="0" labelOnly="1" outline="0" fieldPosition="0">
        <references count="2">
          <reference field="5" count="1" selected="0">
            <x v="20"/>
          </reference>
          <reference field="20" count="1">
            <x v="35"/>
          </reference>
        </references>
      </pivotArea>
    </format>
    <format dxfId="225">
      <pivotArea dataOnly="0" labelOnly="1" outline="0" fieldPosition="0">
        <references count="2">
          <reference field="5" count="1" selected="0">
            <x v="23"/>
          </reference>
          <reference field="20" count="1">
            <x v="2"/>
          </reference>
        </references>
      </pivotArea>
    </format>
    <format dxfId="224">
      <pivotArea dataOnly="0" labelOnly="1" outline="0" fieldPosition="0">
        <references count="2">
          <reference field="5" count="1" selected="0">
            <x v="27"/>
          </reference>
          <reference field="20" count="1">
            <x v="0"/>
          </reference>
        </references>
      </pivotArea>
    </format>
    <format dxfId="223">
      <pivotArea dataOnly="0" labelOnly="1" outline="0" fieldPosition="0">
        <references count="2">
          <reference field="5" count="1" selected="0">
            <x v="31"/>
          </reference>
          <reference field="20" count="1">
            <x v="9"/>
          </reference>
        </references>
      </pivotArea>
    </format>
    <format dxfId="222">
      <pivotArea outline="0" collapsedLevelsAreSubtotals="1" fieldPosition="0"/>
    </format>
    <format dxfId="221">
      <pivotArea dataOnly="0" labelOnly="1" outline="0" axis="axisValues" fieldPosition="0"/>
    </format>
    <format dxfId="220">
      <pivotArea field="5" type="button" dataOnly="0" labelOnly="1" outline="0" axis="axisRow" fieldPosition="0"/>
    </format>
    <format dxfId="219">
      <pivotArea field="20" type="button" dataOnly="0" labelOnly="1" outline="0" axis="axisRow" fieldPosition="1"/>
    </format>
    <format dxfId="218">
      <pivotArea dataOnly="0" labelOnly="1" outline="0" axis="axisValues" fieldPosition="0"/>
    </format>
  </formats>
  <pivotTableStyleInfo name="PivotStyleLight21" showRowHeaders="0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0BCC4-1D3B-45C4-93F9-2778870745BD}" name="PivotTable8" cacheId="0" applyNumberFormats="0" applyBorderFormats="0" applyFontFormats="0" applyPatternFormats="0" applyAlignmentFormats="0" applyWidthHeightFormats="1" dataCaption="Values" updatedVersion="8" minRefreshableVersion="5" showDrill="0" rowGrandTotals="0" colGrandTotals="0" itemPrintTitles="1" createdVersion="8" indent="0" compact="0" compactData="0" multipleFieldFilters="0">
  <location ref="A50:C60" firstHeaderRow="1" firstDataRow="1" firstDataCol="2"/>
  <pivotFields count="25">
    <pivotField compact="0" outline="0" showAll="0" defaultSubtotal="0"/>
    <pivotField compact="0" numFmtId="164" outline="0" showAll="0" defaultSubtotal="0">
      <items count="448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defaultSubtotal="0">
      <items count="48">
        <item sd="0" x="47"/>
        <item x="8"/>
        <item x="33"/>
        <item x="22"/>
        <item x="12"/>
        <item x="10"/>
        <item x="41"/>
        <item x="23"/>
        <item x="15"/>
        <item x="39"/>
        <item x="18"/>
        <item x="37"/>
        <item x="44"/>
        <item x="28"/>
        <item x="14"/>
        <item x="6"/>
        <item x="9"/>
        <item x="35"/>
        <item x="45"/>
        <item x="36"/>
        <item x="16"/>
        <item x="24"/>
        <item x="29"/>
        <item x="13"/>
        <item x="17"/>
        <item x="11"/>
        <item x="3"/>
        <item x="19"/>
        <item x="31"/>
        <item x="43"/>
        <item x="1"/>
        <item x="46"/>
        <item x="26"/>
        <item x="2"/>
        <item x="40"/>
        <item x="30"/>
        <item x="7"/>
        <item x="27"/>
        <item x="42"/>
        <item x="4"/>
        <item x="21"/>
        <item x="0"/>
        <item x="34"/>
        <item x="20"/>
        <item x="38"/>
        <item x="32"/>
        <item x="5"/>
        <item x="25"/>
      </items>
    </pivotField>
    <pivotField compact="0" outline="0" showAll="0" defaultSubtotal="0"/>
    <pivotField compact="0" outline="0" showAll="0" defaultSubtotal="0"/>
    <pivotField compact="0" numFmtId="9" outline="0" showAll="0" defaultSubtotal="0"/>
    <pivotField compact="0" numFmtId="3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3" outline="0" showAll="0" defaultSubtotal="0">
      <items count="290">
        <item x="214"/>
        <item x="79"/>
        <item x="1"/>
        <item x="178"/>
        <item x="159"/>
        <item x="175"/>
        <item x="161"/>
        <item x="21"/>
        <item x="112"/>
        <item x="192"/>
        <item x="93"/>
        <item x="37"/>
        <item x="139"/>
        <item x="225"/>
        <item x="196"/>
        <item x="96"/>
        <item x="26"/>
        <item x="177"/>
        <item x="270"/>
        <item x="65"/>
        <item x="257"/>
        <item x="182"/>
        <item x="234"/>
        <item x="272"/>
        <item x="168"/>
        <item x="217"/>
        <item x="84"/>
        <item x="91"/>
        <item x="76"/>
        <item x="189"/>
        <item x="43"/>
        <item x="163"/>
        <item x="233"/>
        <item x="10"/>
        <item x="141"/>
        <item x="23"/>
        <item x="58"/>
        <item x="245"/>
        <item x="5"/>
        <item x="106"/>
        <item x="208"/>
        <item x="251"/>
        <item x="269"/>
        <item x="17"/>
        <item x="123"/>
        <item x="255"/>
        <item x="12"/>
        <item x="267"/>
        <item x="232"/>
        <item x="128"/>
        <item x="199"/>
        <item x="53"/>
        <item x="271"/>
        <item x="143"/>
        <item x="77"/>
        <item x="173"/>
        <item x="219"/>
        <item x="185"/>
        <item x="40"/>
        <item x="110"/>
        <item x="89"/>
        <item x="55"/>
        <item x="31"/>
        <item x="7"/>
        <item x="51"/>
        <item x="69"/>
        <item x="32"/>
        <item x="221"/>
        <item x="48"/>
        <item x="289"/>
        <item x="67"/>
        <item x="117"/>
        <item x="202"/>
        <item x="155"/>
        <item x="97"/>
        <item x="80"/>
        <item x="240"/>
        <item x="166"/>
        <item x="140"/>
        <item x="9"/>
        <item x="152"/>
        <item x="147"/>
        <item x="33"/>
        <item x="52"/>
        <item x="210"/>
        <item x="115"/>
        <item x="132"/>
        <item x="284"/>
        <item x="47"/>
        <item x="100"/>
        <item x="71"/>
        <item x="248"/>
        <item x="261"/>
        <item x="276"/>
        <item x="162"/>
        <item x="151"/>
        <item x="133"/>
        <item x="56"/>
        <item x="20"/>
        <item x="62"/>
        <item x="63"/>
        <item x="239"/>
        <item x="54"/>
        <item x="197"/>
        <item x="158"/>
        <item x="265"/>
        <item x="25"/>
        <item x="85"/>
        <item x="190"/>
        <item x="127"/>
        <item x="126"/>
        <item x="198"/>
        <item x="4"/>
        <item x="95"/>
        <item x="235"/>
        <item x="230"/>
        <item x="15"/>
        <item x="98"/>
        <item x="102"/>
        <item x="131"/>
        <item x="288"/>
        <item x="66"/>
        <item x="121"/>
        <item x="0"/>
        <item x="215"/>
        <item x="50"/>
        <item x="49"/>
        <item x="8"/>
        <item x="44"/>
        <item x="35"/>
        <item x="203"/>
        <item x="227"/>
        <item x="180"/>
        <item x="118"/>
        <item x="108"/>
        <item x="150"/>
        <item x="283"/>
        <item x="11"/>
        <item x="75"/>
        <item x="124"/>
        <item x="99"/>
        <item x="125"/>
        <item x="207"/>
        <item x="3"/>
        <item x="281"/>
        <item x="156"/>
        <item x="174"/>
        <item x="179"/>
        <item x="216"/>
        <item x="149"/>
        <item x="138"/>
        <item x="206"/>
        <item x="254"/>
        <item x="28"/>
        <item x="73"/>
        <item x="111"/>
        <item x="81"/>
        <item x="19"/>
        <item x="201"/>
        <item x="231"/>
        <item x="134"/>
        <item x="119"/>
        <item x="212"/>
        <item x="36"/>
        <item x="193"/>
        <item x="22"/>
        <item x="146"/>
        <item x="116"/>
        <item x="14"/>
        <item x="104"/>
        <item x="187"/>
        <item x="135"/>
        <item x="228"/>
        <item x="188"/>
        <item x="46"/>
        <item x="39"/>
        <item x="200"/>
        <item x="145"/>
        <item x="59"/>
        <item x="229"/>
        <item x="169"/>
        <item x="218"/>
        <item x="38"/>
        <item x="249"/>
        <item x="94"/>
        <item x="181"/>
        <item x="222"/>
        <item x="24"/>
        <item x="260"/>
        <item x="148"/>
        <item x="114"/>
        <item x="186"/>
        <item x="83"/>
        <item x="109"/>
        <item x="262"/>
        <item x="6"/>
        <item x="183"/>
        <item x="144"/>
        <item x="57"/>
        <item x="86"/>
        <item x="13"/>
        <item x="27"/>
        <item x="238"/>
        <item x="220"/>
        <item x="280"/>
        <item x="68"/>
        <item x="266"/>
        <item x="136"/>
        <item x="130"/>
        <item x="242"/>
        <item x="287"/>
        <item x="16"/>
        <item x="90"/>
        <item x="253"/>
        <item x="164"/>
        <item x="205"/>
        <item x="165"/>
        <item x="264"/>
        <item x="278"/>
        <item x="268"/>
        <item x="213"/>
        <item x="92"/>
        <item x="2"/>
        <item x="211"/>
        <item x="137"/>
        <item x="120"/>
        <item x="209"/>
        <item x="224"/>
        <item x="82"/>
        <item x="41"/>
        <item x="191"/>
        <item x="101"/>
        <item x="247"/>
        <item x="160"/>
        <item x="34"/>
        <item x="42"/>
        <item x="105"/>
        <item x="274"/>
        <item x="60"/>
        <item x="275"/>
        <item x="88"/>
        <item x="223"/>
        <item x="244"/>
        <item x="172"/>
        <item x="273"/>
        <item x="176"/>
        <item x="167"/>
        <item x="142"/>
        <item x="184"/>
        <item x="103"/>
        <item x="286"/>
        <item x="259"/>
        <item x="258"/>
        <item x="282"/>
        <item x="70"/>
        <item x="252"/>
        <item x="170"/>
        <item x="18"/>
        <item x="171"/>
        <item x="72"/>
        <item x="153"/>
        <item x="61"/>
        <item x="113"/>
        <item x="256"/>
        <item x="122"/>
        <item x="285"/>
        <item x="246"/>
        <item x="279"/>
        <item x="236"/>
        <item x="226"/>
        <item x="204"/>
        <item x="243"/>
        <item x="107"/>
        <item x="45"/>
        <item x="74"/>
        <item x="194"/>
        <item x="154"/>
        <item x="250"/>
        <item x="157"/>
        <item x="29"/>
        <item x="263"/>
        <item x="129"/>
        <item x="241"/>
        <item x="195"/>
        <item x="87"/>
        <item x="64"/>
        <item x="277"/>
        <item x="237"/>
        <item x="30"/>
        <item x="78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axis="axisRow" compact="0" outline="0" showAll="0" defaultSubtotal="0">
      <items count="48">
        <item x="19"/>
        <item x="5"/>
        <item x="13"/>
        <item x="2"/>
        <item x="4"/>
        <item x="26"/>
        <item x="20"/>
        <item x="1"/>
        <item x="9"/>
        <item x="46"/>
        <item x="40"/>
        <item x="44"/>
        <item x="38"/>
        <item x="12"/>
        <item x="47"/>
        <item x="30"/>
        <item x="7"/>
        <item x="34"/>
        <item x="3"/>
        <item x="18"/>
        <item x="10"/>
        <item x="21"/>
        <item x="36"/>
        <item x="29"/>
        <item x="15"/>
        <item x="14"/>
        <item x="35"/>
        <item x="11"/>
        <item x="32"/>
        <item x="28"/>
        <item x="33"/>
        <item x="23"/>
        <item x="25"/>
        <item x="37"/>
        <item x="16"/>
        <item x="17"/>
        <item x="42"/>
        <item x="45"/>
        <item x="8"/>
        <item x="22"/>
        <item x="39"/>
        <item x="31"/>
        <item x="24"/>
        <item x="0"/>
        <item x="6"/>
        <item x="43"/>
        <item x="27"/>
        <item x="41"/>
      </items>
    </pivotField>
    <pivotField compact="0" outline="0" showAll="0" defaultSubtotal="0">
      <items count="8">
        <item x="5"/>
        <item x="7"/>
        <item x="4"/>
        <item x="6"/>
        <item x="2"/>
        <item x="1"/>
        <item x="0"/>
        <item x="3"/>
      </items>
    </pivotField>
    <pivotField compact="0" outlin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5"/>
    <field x="20"/>
  </rowFields>
  <rowItems count="10">
    <i>
      <x v="4"/>
      <x v="13"/>
    </i>
    <i>
      <x v="8"/>
      <x v="24"/>
    </i>
    <i>
      <x v="16"/>
      <x v="8"/>
    </i>
    <i>
      <x v="19"/>
      <x v="22"/>
    </i>
    <i>
      <x v="24"/>
      <x v="35"/>
    </i>
    <i>
      <x v="25"/>
      <x v="27"/>
    </i>
    <i>
      <x v="29"/>
      <x v="45"/>
    </i>
    <i>
      <x v="35"/>
      <x v="15"/>
    </i>
    <i>
      <x v="45"/>
      <x v="28"/>
    </i>
    <i>
      <x v="47"/>
      <x v="32"/>
    </i>
  </rowItems>
  <colItems count="1">
    <i/>
  </colItems>
  <dataFields count="1">
    <dataField name=" Sales" fld="15" baseField="0" baseItem="0" numFmtId="166"/>
  </dataFields>
  <formats count="48">
    <format dxfId="314">
      <pivotArea grandRow="1" outline="0" collapsedLevelsAreSubtotals="1" fieldPosition="0"/>
    </format>
    <format dxfId="313">
      <pivotArea field="21" type="button" dataOnly="0" labelOnly="1" outline="0"/>
    </format>
    <format dxfId="312">
      <pivotArea grandRow="1" outline="0" collapsedLevelsAreSubtotals="1" fieldPosition="0"/>
    </format>
    <format dxfId="311">
      <pivotArea dataOnly="0" labelOnly="1" grandRow="1" outline="0" fieldPosition="0"/>
    </format>
    <format dxfId="310">
      <pivotArea grandRow="1" outline="0" collapsedLevelsAreSubtotals="1" fieldPosition="0"/>
    </format>
    <format dxfId="309">
      <pivotArea dataOnly="0" labelOnly="1" grandRow="1" outline="0" fieldPosition="0"/>
    </format>
    <format dxfId="308">
      <pivotArea field="21" type="button" dataOnly="0" labelOnly="1" outline="0"/>
    </format>
    <format dxfId="307">
      <pivotArea field="21" type="button" dataOnly="0" labelOnly="1" outline="0"/>
    </format>
    <format dxfId="306">
      <pivotArea dataOnly="0" labelOnly="1" outline="0" fieldPosition="0">
        <references count="1">
          <reference field="5" count="0"/>
        </references>
      </pivotArea>
    </format>
    <format dxfId="305">
      <pivotArea dataOnly="0" labelOnly="1" outline="0" offset="A256" fieldPosition="0">
        <references count="1">
          <reference field="5" count="1">
            <x v="0"/>
          </reference>
        </references>
      </pivotArea>
    </format>
    <format dxfId="304">
      <pivotArea dataOnly="0" labelOnly="1" outline="0" fieldPosition="0">
        <references count="1">
          <reference field="5" count="4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303">
      <pivotArea dataOnly="0" labelOnly="1" outline="0" fieldPosition="0">
        <references count="1">
          <reference field="5" count="1">
            <x v="0"/>
          </reference>
        </references>
      </pivotArea>
    </format>
    <format dxfId="302">
      <pivotArea dataOnly="0" labelOnly="1" outline="0" fieldPosition="0">
        <references count="1">
          <reference field="5" count="18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</references>
      </pivotArea>
    </format>
    <format dxfId="301">
      <pivotArea dataOnly="0" labelOnly="1" outline="0" fieldPosition="0">
        <references count="1">
          <reference field="5" count="29"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</references>
      </pivotArea>
    </format>
    <format dxfId="300">
      <pivotArea outline="0" collapsedLevelsAreSubtotals="1" fieldPosition="0"/>
    </format>
    <format dxfId="299">
      <pivotArea dataOnly="0" labelOnly="1" outline="0" fieldPosition="0">
        <references count="1">
          <reference field="5" count="10">
            <x v="4"/>
            <x v="8"/>
            <x v="16"/>
            <x v="19"/>
            <x v="24"/>
            <x v="25"/>
            <x v="29"/>
            <x v="35"/>
            <x v="45"/>
            <x v="47"/>
          </reference>
        </references>
      </pivotArea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field="5" type="button" dataOnly="0" labelOnly="1" outline="0" axis="axisRow" fieldPosition="0"/>
    </format>
    <format dxfId="295">
      <pivotArea field="20" type="button" dataOnly="0" labelOnly="1" outline="0" axis="axisRow" fieldPosition="1"/>
    </format>
    <format dxfId="294">
      <pivotArea dataOnly="0" labelOnly="1" outline="0" fieldPosition="0">
        <references count="1">
          <reference field="5" count="10">
            <x v="4"/>
            <x v="8"/>
            <x v="16"/>
            <x v="19"/>
            <x v="24"/>
            <x v="25"/>
            <x v="29"/>
            <x v="35"/>
            <x v="45"/>
            <x v="47"/>
          </reference>
        </references>
      </pivotArea>
    </format>
    <format dxfId="293">
      <pivotArea dataOnly="0" labelOnly="1" outline="0" fieldPosition="0">
        <references count="2">
          <reference field="5" count="1" selected="0">
            <x v="4"/>
          </reference>
          <reference field="20" count="1">
            <x v="13"/>
          </reference>
        </references>
      </pivotArea>
    </format>
    <format dxfId="292">
      <pivotArea dataOnly="0" labelOnly="1" outline="0" fieldPosition="0">
        <references count="2">
          <reference field="5" count="1" selected="0">
            <x v="8"/>
          </reference>
          <reference field="20" count="1">
            <x v="24"/>
          </reference>
        </references>
      </pivotArea>
    </format>
    <format dxfId="291">
      <pivotArea dataOnly="0" labelOnly="1" outline="0" fieldPosition="0">
        <references count="2">
          <reference field="5" count="1" selected="0">
            <x v="16"/>
          </reference>
          <reference field="20" count="1">
            <x v="8"/>
          </reference>
        </references>
      </pivotArea>
    </format>
    <format dxfId="290">
      <pivotArea dataOnly="0" labelOnly="1" outline="0" fieldPosition="0">
        <references count="2">
          <reference field="5" count="1" selected="0">
            <x v="19"/>
          </reference>
          <reference field="20" count="1">
            <x v="22"/>
          </reference>
        </references>
      </pivotArea>
    </format>
    <format dxfId="289">
      <pivotArea dataOnly="0" labelOnly="1" outline="0" fieldPosition="0">
        <references count="2">
          <reference field="5" count="1" selected="0">
            <x v="24"/>
          </reference>
          <reference field="20" count="1">
            <x v="35"/>
          </reference>
        </references>
      </pivotArea>
    </format>
    <format dxfId="288">
      <pivotArea dataOnly="0" labelOnly="1" outline="0" fieldPosition="0">
        <references count="2">
          <reference field="5" count="1" selected="0">
            <x v="25"/>
          </reference>
          <reference field="20" count="1">
            <x v="27"/>
          </reference>
        </references>
      </pivotArea>
    </format>
    <format dxfId="287">
      <pivotArea dataOnly="0" labelOnly="1" outline="0" fieldPosition="0">
        <references count="2">
          <reference field="5" count="1" selected="0">
            <x v="29"/>
          </reference>
          <reference field="20" count="1">
            <x v="45"/>
          </reference>
        </references>
      </pivotArea>
    </format>
    <format dxfId="286">
      <pivotArea dataOnly="0" labelOnly="1" outline="0" fieldPosition="0">
        <references count="2">
          <reference field="5" count="1" selected="0">
            <x v="35"/>
          </reference>
          <reference field="20" count="1">
            <x v="15"/>
          </reference>
        </references>
      </pivotArea>
    </format>
    <format dxfId="285">
      <pivotArea dataOnly="0" labelOnly="1" outline="0" fieldPosition="0">
        <references count="2">
          <reference field="5" count="1" selected="0">
            <x v="45"/>
          </reference>
          <reference field="20" count="1">
            <x v="28"/>
          </reference>
        </references>
      </pivotArea>
    </format>
    <format dxfId="284">
      <pivotArea dataOnly="0" labelOnly="1" outline="0" fieldPosition="0">
        <references count="2">
          <reference field="5" count="1" selected="0">
            <x v="47"/>
          </reference>
          <reference field="20" count="1">
            <x v="32"/>
          </reference>
        </references>
      </pivotArea>
    </format>
    <format dxfId="283">
      <pivotArea dataOnly="0" labelOnly="1" outline="0" axis="axisValues" fieldPosition="0"/>
    </format>
    <format dxfId="282">
      <pivotArea field="5" type="button" dataOnly="0" labelOnly="1" outline="0" axis="axisRow" fieldPosition="0"/>
    </format>
    <format dxfId="281">
      <pivotArea field="20" type="button" dataOnly="0" labelOnly="1" outline="0" axis="axisRow" fieldPosition="1"/>
    </format>
    <format dxfId="280">
      <pivotArea dataOnly="0" labelOnly="1" outline="0" fieldPosition="0">
        <references count="2">
          <reference field="5" count="1" selected="0">
            <x v="4"/>
          </reference>
          <reference field="20" count="1">
            <x v="13"/>
          </reference>
        </references>
      </pivotArea>
    </format>
    <format dxfId="279">
      <pivotArea dataOnly="0" labelOnly="1" outline="0" fieldPosition="0">
        <references count="2">
          <reference field="5" count="1" selected="0">
            <x v="8"/>
          </reference>
          <reference field="20" count="1">
            <x v="24"/>
          </reference>
        </references>
      </pivotArea>
    </format>
    <format dxfId="278">
      <pivotArea dataOnly="0" labelOnly="1" outline="0" fieldPosition="0">
        <references count="2">
          <reference field="5" count="1" selected="0">
            <x v="16"/>
          </reference>
          <reference field="20" count="1">
            <x v="8"/>
          </reference>
        </references>
      </pivotArea>
    </format>
    <format dxfId="277">
      <pivotArea dataOnly="0" labelOnly="1" outline="0" fieldPosition="0">
        <references count="2">
          <reference field="5" count="1" selected="0">
            <x v="19"/>
          </reference>
          <reference field="20" count="1">
            <x v="22"/>
          </reference>
        </references>
      </pivotArea>
    </format>
    <format dxfId="276">
      <pivotArea dataOnly="0" labelOnly="1" outline="0" fieldPosition="0">
        <references count="2">
          <reference field="5" count="1" selected="0">
            <x v="24"/>
          </reference>
          <reference field="20" count="1">
            <x v="35"/>
          </reference>
        </references>
      </pivotArea>
    </format>
    <format dxfId="275">
      <pivotArea dataOnly="0" labelOnly="1" outline="0" fieldPosition="0">
        <references count="2">
          <reference field="5" count="1" selected="0">
            <x v="25"/>
          </reference>
          <reference field="20" count="1">
            <x v="27"/>
          </reference>
        </references>
      </pivotArea>
    </format>
    <format dxfId="274">
      <pivotArea dataOnly="0" labelOnly="1" outline="0" fieldPosition="0">
        <references count="2">
          <reference field="5" count="1" selected="0">
            <x v="29"/>
          </reference>
          <reference field="20" count="1">
            <x v="45"/>
          </reference>
        </references>
      </pivotArea>
    </format>
    <format dxfId="273">
      <pivotArea dataOnly="0" labelOnly="1" outline="0" fieldPosition="0">
        <references count="2">
          <reference field="5" count="1" selected="0">
            <x v="35"/>
          </reference>
          <reference field="20" count="1">
            <x v="15"/>
          </reference>
        </references>
      </pivotArea>
    </format>
    <format dxfId="272">
      <pivotArea dataOnly="0" labelOnly="1" outline="0" fieldPosition="0">
        <references count="2">
          <reference field="5" count="1" selected="0">
            <x v="45"/>
          </reference>
          <reference field="20" count="1">
            <x v="28"/>
          </reference>
        </references>
      </pivotArea>
    </format>
    <format dxfId="271">
      <pivotArea dataOnly="0" labelOnly="1" outline="0" fieldPosition="0">
        <references count="2">
          <reference field="5" count="1" selected="0">
            <x v="47"/>
          </reference>
          <reference field="20" count="1">
            <x v="32"/>
          </reference>
        </references>
      </pivotArea>
    </format>
    <format dxfId="270">
      <pivotArea dataOnly="0" labelOnly="1" outline="0" axis="axisValues" fieldPosition="0"/>
    </format>
    <format dxfId="269">
      <pivotArea field="5" type="button" dataOnly="0" labelOnly="1" outline="0" axis="axisRow" fieldPosition="0"/>
    </format>
    <format dxfId="268">
      <pivotArea field="20" type="button" dataOnly="0" labelOnly="1" outline="0" axis="axisRow" fieldPosition="1"/>
    </format>
    <format dxfId="267">
      <pivotArea dataOnly="0" labelOnly="1" outline="0" axis="axisValues" fieldPosition="0"/>
    </format>
  </formats>
  <pivotTableStyleInfo name="PivotStyleLight21" showRowHeaders="0" showColHeaders="1" showRowStripes="0" showColStripes="0" showLastColumn="1"/>
  <filters count="1">
    <filter fld="5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FF8EA-3113-4FE0-9B7F-AFD7D69C58C8}" name="PivotTable1" cacheId="0" applyNumberFormats="0" applyBorderFormats="0" applyFontFormats="0" applyPatternFormats="0" applyAlignmentFormats="0" applyWidthHeightFormats="1" dataCaption="Values" updatedVersion="8" minRefreshableVersion="5" showDrill="0" useAutoFormatting="1" itemPrintTitles="1" createdVersion="8" indent="0" compact="0" compactData="0" multipleFieldFilters="0">
  <location ref="E5:G54" firstHeaderRow="1" firstDataRow="1" firstDataCol="2"/>
  <pivotFields count="25">
    <pivotField compact="0" outline="0" showAll="0"/>
    <pivotField compact="0" numFmtId="164" outline="0" showAll="0">
      <items count="449">
        <item x="385"/>
        <item x="422"/>
        <item x="58"/>
        <item x="354"/>
        <item x="389"/>
        <item x="146"/>
        <item x="63"/>
        <item x="355"/>
        <item x="33"/>
        <item x="392"/>
        <item x="202"/>
        <item x="249"/>
        <item x="327"/>
        <item x="36"/>
        <item x="266"/>
        <item x="165"/>
        <item x="219"/>
        <item x="344"/>
        <item x="443"/>
        <item x="48"/>
        <item x="294"/>
        <item x="71"/>
        <item x="368"/>
        <item x="444"/>
        <item x="166"/>
        <item x="145"/>
        <item x="21"/>
        <item x="271"/>
        <item x="248"/>
        <item x="301"/>
        <item x="62"/>
        <item x="35"/>
        <item x="98"/>
        <item x="178"/>
        <item x="184"/>
        <item x="143"/>
        <item x="125"/>
        <item x="408"/>
        <item x="341"/>
        <item x="322"/>
        <item x="24"/>
        <item x="185"/>
        <item x="353"/>
        <item x="89"/>
        <item x="74"/>
        <item x="263"/>
        <item x="377"/>
        <item x="70"/>
        <item x="244"/>
        <item x="228"/>
        <item x="337"/>
        <item x="72"/>
        <item x="302"/>
        <item x="362"/>
        <item x="101"/>
        <item x="32"/>
        <item x="19"/>
        <item x="106"/>
        <item x="221"/>
        <item x="427"/>
        <item x="92"/>
        <item x="298"/>
        <item x="109"/>
        <item x="182"/>
        <item x="76"/>
        <item x="154"/>
        <item x="446"/>
        <item x="236"/>
        <item x="155"/>
        <item x="2"/>
        <item x="187"/>
        <item x="222"/>
        <item x="25"/>
        <item x="18"/>
        <item x="159"/>
        <item x="12"/>
        <item x="171"/>
        <item x="22"/>
        <item x="442"/>
        <item x="73"/>
        <item x="176"/>
        <item x="227"/>
        <item x="126"/>
        <item x="386"/>
        <item x="9"/>
        <item x="359"/>
        <item x="290"/>
        <item x="77"/>
        <item x="242"/>
        <item x="64"/>
        <item x="398"/>
        <item x="247"/>
        <item x="46"/>
        <item x="245"/>
        <item x="400"/>
        <item x="429"/>
        <item x="205"/>
        <item x="438"/>
        <item x="347"/>
        <item x="26"/>
        <item x="314"/>
        <item x="53"/>
        <item x="117"/>
        <item x="445"/>
        <item x="183"/>
        <item x="317"/>
        <item x="329"/>
        <item x="41"/>
        <item x="336"/>
        <item x="231"/>
        <item x="334"/>
        <item x="225"/>
        <item x="213"/>
        <item x="124"/>
        <item x="284"/>
        <item x="310"/>
        <item x="119"/>
        <item x="39"/>
        <item x="160"/>
        <item x="252"/>
        <item x="197"/>
        <item x="116"/>
        <item x="1"/>
        <item x="104"/>
        <item x="11"/>
        <item x="254"/>
        <item x="198"/>
        <item x="113"/>
        <item x="333"/>
        <item x="186"/>
        <item x="260"/>
        <item x="123"/>
        <item x="107"/>
        <item x="270"/>
        <item x="283"/>
        <item x="23"/>
        <item x="306"/>
        <item x="326"/>
        <item x="207"/>
        <item x="387"/>
        <item x="332"/>
        <item x="441"/>
        <item x="380"/>
        <item x="31"/>
        <item x="345"/>
        <item x="313"/>
        <item x="50"/>
        <item x="4"/>
        <item x="230"/>
        <item x="0"/>
        <item x="134"/>
        <item x="256"/>
        <item x="13"/>
        <item x="87"/>
        <item x="206"/>
        <item x="241"/>
        <item x="167"/>
        <item x="122"/>
        <item x="309"/>
        <item x="243"/>
        <item x="193"/>
        <item x="437"/>
        <item x="312"/>
        <item x="49"/>
        <item x="81"/>
        <item x="177"/>
        <item x="258"/>
        <item x="137"/>
        <item x="375"/>
        <item x="423"/>
        <item x="223"/>
        <item x="424"/>
        <item x="65"/>
        <item x="430"/>
        <item x="220"/>
        <item x="66"/>
        <item x="168"/>
        <item x="56"/>
        <item x="350"/>
        <item x="435"/>
        <item x="110"/>
        <item x="299"/>
        <item x="303"/>
        <item x="259"/>
        <item x="86"/>
        <item x="8"/>
        <item x="251"/>
        <item x="17"/>
        <item x="144"/>
        <item x="115"/>
        <item x="90"/>
        <item x="196"/>
        <item x="388"/>
        <item x="29"/>
        <item x="367"/>
        <item x="148"/>
        <item x="357"/>
        <item x="179"/>
        <item x="135"/>
        <item x="372"/>
        <item x="239"/>
        <item x="195"/>
        <item x="233"/>
        <item x="393"/>
        <item x="112"/>
        <item x="305"/>
        <item x="426"/>
        <item x="285"/>
        <item x="419"/>
        <item x="360"/>
        <item x="188"/>
        <item x="391"/>
        <item x="397"/>
        <item x="40"/>
        <item x="173"/>
        <item x="394"/>
        <item x="323"/>
        <item x="150"/>
        <item x="191"/>
        <item x="151"/>
        <item x="51"/>
        <item x="147"/>
        <item x="425"/>
        <item x="308"/>
        <item x="432"/>
        <item x="114"/>
        <item x="93"/>
        <item x="311"/>
        <item x="401"/>
        <item x="325"/>
        <item x="28"/>
        <item x="431"/>
        <item x="163"/>
        <item x="316"/>
        <item x="200"/>
        <item x="366"/>
        <item x="136"/>
        <item x="433"/>
        <item x="370"/>
        <item x="361"/>
        <item x="351"/>
        <item x="286"/>
        <item x="99"/>
        <item x="156"/>
        <item x="88"/>
        <item x="447"/>
        <item x="279"/>
        <item x="164"/>
        <item x="111"/>
        <item x="80"/>
        <item x="265"/>
        <item x="138"/>
        <item x="5"/>
        <item x="67"/>
        <item x="415"/>
        <item x="47"/>
        <item x="214"/>
        <item x="272"/>
        <item x="14"/>
        <item x="292"/>
        <item x="348"/>
        <item x="44"/>
        <item x="268"/>
        <item x="52"/>
        <item x="378"/>
        <item x="342"/>
        <item x="320"/>
        <item x="288"/>
        <item x="91"/>
        <item x="411"/>
        <item x="128"/>
        <item x="296"/>
        <item x="95"/>
        <item x="199"/>
        <item x="281"/>
        <item x="84"/>
        <item x="94"/>
        <item x="174"/>
        <item x="346"/>
        <item x="267"/>
        <item x="373"/>
        <item x="212"/>
        <item x="75"/>
        <item x="235"/>
        <item x="262"/>
        <item x="403"/>
        <item x="371"/>
        <item x="60"/>
        <item x="132"/>
        <item x="297"/>
        <item x="226"/>
        <item x="141"/>
        <item x="85"/>
        <item x="105"/>
        <item x="238"/>
        <item x="418"/>
        <item x="172"/>
        <item x="96"/>
        <item x="20"/>
        <item x="282"/>
        <item x="439"/>
        <item x="215"/>
        <item x="142"/>
        <item x="15"/>
        <item x="180"/>
        <item x="246"/>
        <item x="365"/>
        <item x="331"/>
        <item x="407"/>
        <item x="175"/>
        <item x="406"/>
        <item x="304"/>
        <item x="234"/>
        <item x="339"/>
        <item x="130"/>
        <item x="405"/>
        <item x="376"/>
        <item x="217"/>
        <item x="277"/>
        <item x="381"/>
        <item x="139"/>
        <item x="416"/>
        <item x="211"/>
        <item x="204"/>
        <item x="54"/>
        <item x="420"/>
        <item x="59"/>
        <item x="402"/>
        <item x="69"/>
        <item x="192"/>
        <item x="27"/>
        <item x="10"/>
        <item x="216"/>
        <item x="396"/>
        <item x="16"/>
        <item x="382"/>
        <item x="194"/>
        <item x="229"/>
        <item x="30"/>
        <item x="352"/>
        <item x="131"/>
        <item x="358"/>
        <item x="133"/>
        <item x="338"/>
        <item x="61"/>
        <item x="103"/>
        <item x="261"/>
        <item x="38"/>
        <item x="436"/>
        <item x="127"/>
        <item x="43"/>
        <item x="237"/>
        <item x="189"/>
        <item x="253"/>
        <item x="379"/>
        <item x="356"/>
        <item x="6"/>
        <item x="330"/>
        <item x="295"/>
        <item x="129"/>
        <item x="291"/>
        <item x="369"/>
        <item x="434"/>
        <item x="275"/>
        <item x="289"/>
        <item x="57"/>
        <item x="161"/>
        <item x="410"/>
        <item x="240"/>
        <item x="421"/>
        <item x="170"/>
        <item x="102"/>
        <item x="108"/>
        <item x="162"/>
        <item x="68"/>
        <item x="203"/>
        <item x="315"/>
        <item x="374"/>
        <item x="190"/>
        <item x="37"/>
        <item x="276"/>
        <item x="257"/>
        <item x="208"/>
        <item x="152"/>
        <item x="390"/>
        <item x="232"/>
        <item x="153"/>
        <item x="414"/>
        <item x="319"/>
        <item x="210"/>
        <item x="399"/>
        <item x="269"/>
        <item x="158"/>
        <item x="55"/>
        <item x="250"/>
        <item x="324"/>
        <item x="3"/>
        <item x="300"/>
        <item x="278"/>
        <item x="349"/>
        <item x="412"/>
        <item x="45"/>
        <item x="157"/>
        <item x="224"/>
        <item x="201"/>
        <item x="413"/>
        <item x="121"/>
        <item x="79"/>
        <item x="42"/>
        <item x="97"/>
        <item x="280"/>
        <item x="264"/>
        <item x="118"/>
        <item x="318"/>
        <item x="169"/>
        <item x="140"/>
        <item x="83"/>
        <item x="384"/>
        <item x="7"/>
        <item x="34"/>
        <item x="149"/>
        <item x="293"/>
        <item x="340"/>
        <item x="321"/>
        <item x="274"/>
        <item x="307"/>
        <item x="404"/>
        <item x="363"/>
        <item x="287"/>
        <item x="428"/>
        <item x="364"/>
        <item x="209"/>
        <item x="255"/>
        <item x="218"/>
        <item x="409"/>
        <item x="343"/>
        <item x="328"/>
        <item x="82"/>
        <item x="335"/>
        <item x="440"/>
        <item x="273"/>
        <item x="78"/>
        <item x="383"/>
        <item x="181"/>
        <item x="395"/>
        <item x="100"/>
        <item x="120"/>
        <item x="4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3" outline="0" showAll="0"/>
    <pivotField dataField="1"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axis="axisRow" compact="0" outline="0" showAll="0" sortType="ascending">
      <items count="9">
        <item x="5"/>
        <item x="7"/>
        <item x="4"/>
        <item x="6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1">
        <item x="12"/>
        <item x="7"/>
        <item x="9"/>
        <item x="27"/>
        <item x="11"/>
        <item x="37"/>
        <item x="22"/>
        <item x="31"/>
        <item x="33"/>
        <item x="16"/>
        <item x="8"/>
        <item x="29"/>
        <item x="5"/>
        <item x="15"/>
        <item x="35"/>
        <item x="19"/>
        <item x="17"/>
        <item x="14"/>
        <item x="30"/>
        <item x="24"/>
        <item x="10"/>
        <item x="3"/>
        <item x="34"/>
        <item x="28"/>
        <item x="20"/>
        <item x="2"/>
        <item x="38"/>
        <item x="1"/>
        <item x="36"/>
        <item x="18"/>
        <item x="39"/>
        <item x="13"/>
        <item x="0"/>
        <item x="26"/>
        <item x="6"/>
        <item x="32"/>
        <item x="23"/>
        <item x="21"/>
        <item x="4"/>
        <item x="25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1"/>
    <field x="22"/>
  </rowFields>
  <rowItems count="49">
    <i>
      <x v="2"/>
      <x v="10"/>
    </i>
    <i r="1">
      <x v="11"/>
    </i>
    <i r="1">
      <x v="12"/>
    </i>
    <i r="1">
      <x v="13"/>
    </i>
    <i r="1">
      <x v="14"/>
    </i>
    <i t="default">
      <x v="2"/>
    </i>
    <i>
      <x v="3"/>
      <x v="15"/>
    </i>
    <i r="1">
      <x v="16"/>
    </i>
    <i r="1">
      <x v="17"/>
    </i>
    <i r="1">
      <x v="18"/>
    </i>
    <i r="1">
      <x v="19"/>
    </i>
    <i t="default">
      <x v="3"/>
    </i>
    <i>
      <x v="7"/>
      <x v="35"/>
    </i>
    <i r="1">
      <x v="36"/>
    </i>
    <i r="1">
      <x v="37"/>
    </i>
    <i r="1">
      <x v="38"/>
    </i>
    <i r="1">
      <x v="39"/>
    </i>
    <i t="default">
      <x v="7"/>
    </i>
    <i>
      <x v="5"/>
      <x v="25"/>
    </i>
    <i r="1">
      <x v="26"/>
    </i>
    <i r="1">
      <x v="27"/>
    </i>
    <i r="1">
      <x v="28"/>
    </i>
    <i r="1">
      <x v="29"/>
    </i>
    <i t="default">
      <x v="5"/>
    </i>
    <i>
      <x v="4"/>
      <x v="20"/>
    </i>
    <i r="1">
      <x v="21"/>
    </i>
    <i r="1">
      <x v="22"/>
    </i>
    <i r="1">
      <x v="23"/>
    </i>
    <i r="1">
      <x v="24"/>
    </i>
    <i t="default">
      <x v="4"/>
    </i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r="1">
      <x v="6"/>
    </i>
    <i r="1">
      <x v="7"/>
    </i>
    <i r="1">
      <x v="8"/>
    </i>
    <i r="1">
      <x v="9"/>
    </i>
    <i t="default">
      <x v="1"/>
    </i>
    <i>
      <x v="6"/>
      <x v="30"/>
    </i>
    <i r="1">
      <x v="31"/>
    </i>
    <i r="1">
      <x v="32"/>
    </i>
    <i r="1">
      <x v="33"/>
    </i>
    <i r="1">
      <x v="34"/>
    </i>
    <i t="default">
      <x v="6"/>
    </i>
    <i t="grand">
      <x/>
    </i>
  </rowItems>
  <colItems count="1">
    <i/>
  </colItems>
  <dataFields count="1">
    <dataField name="Average of Delivery_Days" fld="10" subtotal="average" baseField="22" baseItem="0"/>
  </dataFields>
  <formats count="4">
    <format dxfId="3">
      <pivotArea outline="0" collapsedLevelsAreSubtotals="1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9E3484D3-4723-4412-827F-29854A8ACB3B}" sourceName="Order_Date">
  <pivotTables>
    <pivotTable tabId="1" name="PivotTable2"/>
    <pivotTable tabId="1" name="Key Performance Indicators"/>
    <pivotTable tabId="1" name="PivotTable3"/>
    <pivotTable tabId="1" name="PivotTable4"/>
    <pivotTable tabId="1" name="PivotTable5"/>
    <pivotTable tabId="1" name="PivotTable7"/>
    <pivotTable tabId="1" name="PivotTable8"/>
    <pivotTable tabId="4" name="PivotTable1"/>
    <pivotTable tabId="1" name="PivotTable6"/>
    <pivotTable tabId="1" name="PivotTable9"/>
  </pivotTables>
  <state minimalRefreshVersion="6" lastRefreshVersion="6" pivotCacheId="44685344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46AC5679-0F91-4A65-8766-A6618EC65DEC}" cache="NativeTimeline_Order_Date" caption="Order_Date" showHorizontalScrollbar="0" level="2" selectionLevel="2" scrollPosition="2025-02-01T00:00:00" style="TimeSlicerStyleDark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4640A13F-D0F3-4C02-A8FD-65026D1323EA}" cache="NativeTimeline_Order_Date" caption="Order_Date" showHorizontalScrollbar="0" level="2" selectionLevel="2" scrollPosition="2025-01-01T00:00:00" style="TimeSlicerStyleDark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5" Type="http://schemas.microsoft.com/office/2011/relationships/timeline" Target="../timelines/timeline1.xml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Relationship Id="rId5" Type="http://schemas.microsoft.com/office/2011/relationships/timeline" Target="../timelines/timeline2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783A-CACB-4581-8F6C-FB9E99EC5C71}">
  <dimension ref="A9:P66"/>
  <sheetViews>
    <sheetView showGridLines="0" topLeftCell="A10" zoomScale="61" zoomScaleNormal="84" workbookViewId="0"/>
  </sheetViews>
  <sheetFormatPr defaultRowHeight="13.8"/>
  <cols>
    <col min="1" max="1" width="17.8984375" customWidth="1"/>
    <col min="2" max="2" width="18.19921875" customWidth="1"/>
    <col min="3" max="3" width="9.69921875" bestFit="1" customWidth="1"/>
    <col min="4" max="4" width="18.296875" bestFit="1" customWidth="1"/>
    <col min="5" max="5" width="41.8984375" customWidth="1"/>
    <col min="6" max="6" width="14.09765625" customWidth="1"/>
    <col min="7" max="7" width="17.19921875" customWidth="1"/>
    <col min="8" max="8" width="33.19921875" customWidth="1"/>
    <col min="9" max="9" width="18.09765625" bestFit="1" customWidth="1"/>
    <col min="10" max="10" width="20.59765625" bestFit="1" customWidth="1"/>
    <col min="11" max="12" width="26.69921875" bestFit="1" customWidth="1"/>
    <col min="13" max="13" width="24.09765625" bestFit="1" customWidth="1"/>
    <col min="14" max="14" width="12.19921875" bestFit="1" customWidth="1"/>
    <col min="15" max="15" width="28.19921875" bestFit="1" customWidth="1"/>
    <col min="16" max="19" width="12.19921875" bestFit="1" customWidth="1"/>
    <col min="20" max="20" width="11" bestFit="1" customWidth="1"/>
    <col min="21" max="51" width="29" bestFit="1" customWidth="1"/>
    <col min="52" max="52" width="11" bestFit="1" customWidth="1"/>
  </cols>
  <sheetData>
    <row r="9" spans="1:13">
      <c r="E9" s="1"/>
    </row>
    <row r="10" spans="1:13">
      <c r="H10" s="45" t="s">
        <v>0</v>
      </c>
      <c r="I10" s="45" t="s">
        <v>1</v>
      </c>
      <c r="K10" s="45" t="s">
        <v>0</v>
      </c>
      <c r="L10" s="65" t="s">
        <v>23</v>
      </c>
      <c r="M10" s="69" t="s">
        <v>25</v>
      </c>
    </row>
    <row r="11" spans="1:13">
      <c r="A11" s="65" t="s">
        <v>116</v>
      </c>
      <c r="B11" s="66" t="s">
        <v>4</v>
      </c>
      <c r="C11" s="66" t="s">
        <v>5</v>
      </c>
      <c r="D11" s="69" t="s">
        <v>6</v>
      </c>
      <c r="H11" s="49" t="s">
        <v>19</v>
      </c>
      <c r="I11" s="46">
        <v>6.42741935483871</v>
      </c>
      <c r="K11" s="38" t="s">
        <v>7</v>
      </c>
      <c r="L11" s="34">
        <v>1498090</v>
      </c>
      <c r="M11" s="35">
        <v>1677860</v>
      </c>
    </row>
    <row r="12" spans="1:13">
      <c r="A12" s="52">
        <v>1000</v>
      </c>
      <c r="B12" s="53">
        <v>10372470</v>
      </c>
      <c r="C12" s="53">
        <v>11399649</v>
      </c>
      <c r="D12" s="54">
        <v>0.90989380462503711</v>
      </c>
      <c r="H12" s="50" t="s">
        <v>10</v>
      </c>
      <c r="I12" s="47">
        <v>5.4566929133858268</v>
      </c>
      <c r="K12" s="39" t="s">
        <v>10</v>
      </c>
      <c r="L12" s="36">
        <v>1311820</v>
      </c>
      <c r="M12" s="26">
        <v>1495472</v>
      </c>
    </row>
    <row r="13" spans="1:13">
      <c r="H13" s="50" t="s">
        <v>7</v>
      </c>
      <c r="I13" s="47">
        <v>5.3787878787878789</v>
      </c>
      <c r="K13" s="39" t="s">
        <v>8</v>
      </c>
      <c r="L13" s="36">
        <v>1490960</v>
      </c>
      <c r="M13" s="26">
        <v>1580413</v>
      </c>
    </row>
    <row r="14" spans="1:13">
      <c r="H14" s="50" t="s">
        <v>15</v>
      </c>
      <c r="I14" s="47">
        <v>4.5641025641025639</v>
      </c>
      <c r="K14" s="39" t="s">
        <v>13</v>
      </c>
      <c r="L14" s="36">
        <v>1383370</v>
      </c>
      <c r="M14" s="26">
        <v>1507877</v>
      </c>
    </row>
    <row r="15" spans="1:13">
      <c r="H15" s="50" t="s">
        <v>17</v>
      </c>
      <c r="I15" s="47">
        <v>4.2971014492753623</v>
      </c>
      <c r="K15" s="39" t="s">
        <v>15</v>
      </c>
      <c r="L15" s="36">
        <v>1064080</v>
      </c>
      <c r="M15" s="26">
        <v>1149207</v>
      </c>
    </row>
    <row r="16" spans="1:13">
      <c r="H16" s="50" t="s">
        <v>21</v>
      </c>
      <c r="I16" s="47">
        <v>3.7884615384615383</v>
      </c>
      <c r="K16" s="39" t="s">
        <v>17</v>
      </c>
      <c r="L16" s="36">
        <v>1330400</v>
      </c>
      <c r="M16" s="26">
        <v>1436830</v>
      </c>
    </row>
    <row r="17" spans="1:13">
      <c r="H17" s="50" t="s">
        <v>13</v>
      </c>
      <c r="I17" s="47">
        <v>3.7461538461538462</v>
      </c>
      <c r="K17" s="39" t="s">
        <v>19</v>
      </c>
      <c r="L17" s="36">
        <v>1221030</v>
      </c>
      <c r="M17" s="26">
        <v>1404174</v>
      </c>
    </row>
    <row r="18" spans="1:13">
      <c r="H18" s="51" t="s">
        <v>8</v>
      </c>
      <c r="I18" s="47">
        <v>2.96875</v>
      </c>
      <c r="K18" s="41" t="s">
        <v>21</v>
      </c>
      <c r="L18" s="37">
        <v>1072720</v>
      </c>
      <c r="M18" s="27">
        <v>1147816</v>
      </c>
    </row>
    <row r="19" spans="1:13">
      <c r="A19" s="45" t="s">
        <v>0</v>
      </c>
      <c r="B19" s="65" t="s">
        <v>23</v>
      </c>
      <c r="C19" s="66" t="s">
        <v>24</v>
      </c>
      <c r="D19" s="66" t="s">
        <v>25</v>
      </c>
      <c r="E19" s="67" t="s">
        <v>6</v>
      </c>
      <c r="H19" s="45" t="s">
        <v>26</v>
      </c>
      <c r="I19" s="48">
        <v>4.5880000000000001</v>
      </c>
      <c r="K19" s="11" t="s">
        <v>26</v>
      </c>
      <c r="L19" s="12">
        <v>10372470</v>
      </c>
      <c r="M19" s="12">
        <v>11399649</v>
      </c>
    </row>
    <row r="20" spans="1:13">
      <c r="A20" s="61" t="s">
        <v>8</v>
      </c>
      <c r="B20" s="55">
        <v>1490960</v>
      </c>
      <c r="C20" s="56">
        <v>2</v>
      </c>
      <c r="D20" s="57">
        <v>1580413</v>
      </c>
      <c r="E20" s="58">
        <v>0.94339897229395098</v>
      </c>
    </row>
    <row r="21" spans="1:13">
      <c r="A21" s="62" t="s">
        <v>21</v>
      </c>
      <c r="B21" s="59">
        <v>1072720</v>
      </c>
      <c r="C21" s="29">
        <v>7</v>
      </c>
      <c r="D21" s="28">
        <v>1147816</v>
      </c>
      <c r="E21" s="30">
        <v>0.9345748795974268</v>
      </c>
    </row>
    <row r="22" spans="1:13">
      <c r="A22" s="62" t="s">
        <v>17</v>
      </c>
      <c r="B22" s="59">
        <v>1330400</v>
      </c>
      <c r="C22" s="29">
        <v>4</v>
      </c>
      <c r="D22" s="28">
        <v>1436830</v>
      </c>
      <c r="E22" s="30">
        <v>0.92592721477140649</v>
      </c>
    </row>
    <row r="23" spans="1:13">
      <c r="A23" s="62" t="s">
        <v>15</v>
      </c>
      <c r="B23" s="59">
        <v>1064080</v>
      </c>
      <c r="C23" s="29">
        <v>8</v>
      </c>
      <c r="D23" s="28">
        <v>1149207</v>
      </c>
      <c r="E23" s="30">
        <v>0.92592544250078535</v>
      </c>
    </row>
    <row r="24" spans="1:13">
      <c r="A24" s="62" t="s">
        <v>13</v>
      </c>
      <c r="B24" s="59">
        <v>1383370</v>
      </c>
      <c r="C24" s="29">
        <v>3</v>
      </c>
      <c r="D24" s="28">
        <v>1507877</v>
      </c>
      <c r="E24" s="30">
        <v>0.91742894148528031</v>
      </c>
    </row>
    <row r="25" spans="1:13">
      <c r="A25" s="62" t="s">
        <v>7</v>
      </c>
      <c r="B25" s="59">
        <v>1498090</v>
      </c>
      <c r="C25" s="29">
        <v>1</v>
      </c>
      <c r="D25" s="28">
        <v>1677860</v>
      </c>
      <c r="E25" s="30">
        <v>0.89285756856948728</v>
      </c>
      <c r="H25" s="11" t="s">
        <v>43</v>
      </c>
      <c r="I25" s="11" t="s">
        <v>44</v>
      </c>
      <c r="J25" s="11"/>
      <c r="K25" s="70"/>
      <c r="L25" s="70"/>
    </row>
    <row r="26" spans="1:13">
      <c r="A26" s="62" t="s">
        <v>10</v>
      </c>
      <c r="B26" s="59">
        <v>1311820</v>
      </c>
      <c r="C26" s="29">
        <v>5</v>
      </c>
      <c r="D26" s="28">
        <v>1495472</v>
      </c>
      <c r="E26" s="30">
        <v>0.87719462484085298</v>
      </c>
      <c r="H26" s="45" t="s">
        <v>0</v>
      </c>
      <c r="I26" s="65" t="s">
        <v>46</v>
      </c>
      <c r="J26" s="66" t="s">
        <v>47</v>
      </c>
      <c r="K26" s="66" t="s">
        <v>48</v>
      </c>
      <c r="L26" s="69" t="s">
        <v>49</v>
      </c>
    </row>
    <row r="27" spans="1:13">
      <c r="A27" s="63" t="s">
        <v>19</v>
      </c>
      <c r="B27" s="59">
        <v>1221030</v>
      </c>
      <c r="C27" s="29">
        <v>6</v>
      </c>
      <c r="D27" s="28">
        <v>1404174</v>
      </c>
      <c r="E27" s="30">
        <v>0.86957171974413427</v>
      </c>
      <c r="H27" s="3" t="s">
        <v>8</v>
      </c>
      <c r="I27" s="19">
        <v>1</v>
      </c>
      <c r="J27" s="16">
        <v>2</v>
      </c>
      <c r="K27" s="16">
        <v>44</v>
      </c>
      <c r="L27" s="13">
        <v>81</v>
      </c>
    </row>
    <row r="28" spans="1:13">
      <c r="A28" s="64" t="s">
        <v>26</v>
      </c>
      <c r="B28" s="60">
        <v>10372470</v>
      </c>
      <c r="C28" s="32"/>
      <c r="D28" s="31">
        <v>11399649</v>
      </c>
      <c r="E28" s="33">
        <v>0.90989380462503711</v>
      </c>
      <c r="H28" s="4" t="s">
        <v>13</v>
      </c>
      <c r="I28" s="20"/>
      <c r="J28" s="17">
        <v>10</v>
      </c>
      <c r="K28" s="17">
        <v>65</v>
      </c>
      <c r="L28" s="14">
        <v>55</v>
      </c>
    </row>
    <row r="29" spans="1:13">
      <c r="H29" s="4" t="s">
        <v>17</v>
      </c>
      <c r="I29" s="20"/>
      <c r="J29" s="17">
        <v>17</v>
      </c>
      <c r="K29" s="17">
        <v>74</v>
      </c>
      <c r="L29" s="14">
        <v>47</v>
      </c>
    </row>
    <row r="30" spans="1:13">
      <c r="H30" s="4" t="s">
        <v>21</v>
      </c>
      <c r="I30" s="20"/>
      <c r="J30" s="17">
        <v>5</v>
      </c>
      <c r="K30" s="17">
        <v>58</v>
      </c>
      <c r="L30" s="14">
        <v>41</v>
      </c>
    </row>
    <row r="31" spans="1:13">
      <c r="H31" s="4" t="s">
        <v>15</v>
      </c>
      <c r="I31" s="20">
        <v>2</v>
      </c>
      <c r="J31" s="17">
        <v>20</v>
      </c>
      <c r="K31" s="17">
        <v>58</v>
      </c>
      <c r="L31" s="14">
        <v>37</v>
      </c>
    </row>
    <row r="32" spans="1:13">
      <c r="H32" s="4" t="s">
        <v>7</v>
      </c>
      <c r="I32" s="20">
        <v>2</v>
      </c>
      <c r="J32" s="17">
        <v>41</v>
      </c>
      <c r="K32" s="17">
        <v>66</v>
      </c>
      <c r="L32" s="14">
        <v>23</v>
      </c>
    </row>
    <row r="33" spans="1:16">
      <c r="A33" s="7" t="s">
        <v>117</v>
      </c>
      <c r="H33" s="4" t="s">
        <v>10</v>
      </c>
      <c r="I33" s="20">
        <v>6</v>
      </c>
      <c r="J33" s="17">
        <v>39</v>
      </c>
      <c r="K33" s="17">
        <v>64</v>
      </c>
      <c r="L33" s="14">
        <v>18</v>
      </c>
    </row>
    <row r="34" spans="1:16">
      <c r="H34" s="5" t="s">
        <v>19</v>
      </c>
      <c r="I34" s="21">
        <v>9</v>
      </c>
      <c r="J34" s="18">
        <v>56</v>
      </c>
      <c r="K34" s="18">
        <v>47</v>
      </c>
      <c r="L34" s="15">
        <v>12</v>
      </c>
    </row>
    <row r="35" spans="1:16">
      <c r="A35" s="45" t="s">
        <v>65</v>
      </c>
      <c r="B35" s="45" t="s">
        <v>66</v>
      </c>
      <c r="C35" s="45" t="s">
        <v>23</v>
      </c>
    </row>
    <row r="36" spans="1:16">
      <c r="A36" s="38" t="s">
        <v>68</v>
      </c>
      <c r="B36" s="44" t="s">
        <v>69</v>
      </c>
      <c r="C36" s="42">
        <v>300240</v>
      </c>
    </row>
    <row r="37" spans="1:16">
      <c r="A37" s="39" t="s">
        <v>71</v>
      </c>
      <c r="B37" s="44" t="s">
        <v>72</v>
      </c>
      <c r="C37" s="43">
        <v>358680</v>
      </c>
    </row>
    <row r="38" spans="1:16">
      <c r="A38" s="39" t="s">
        <v>74</v>
      </c>
      <c r="B38" s="44" t="s">
        <v>75</v>
      </c>
      <c r="C38" s="43">
        <v>323880</v>
      </c>
      <c r="N38" t="str">
        <f>IF(M40=1,H39,K39)</f>
        <v>Top 10 Store by Sales Performace Analysis</v>
      </c>
    </row>
    <row r="39" spans="1:16">
      <c r="A39" s="39" t="s">
        <v>77</v>
      </c>
      <c r="B39" s="44" t="s">
        <v>78</v>
      </c>
      <c r="C39" s="43">
        <v>290270</v>
      </c>
      <c r="H39" s="7" t="s">
        <v>120</v>
      </c>
      <c r="K39" s="7" t="s">
        <v>121</v>
      </c>
    </row>
    <row r="40" spans="1:16">
      <c r="A40" s="39" t="s">
        <v>80</v>
      </c>
      <c r="B40" s="44" t="s">
        <v>81</v>
      </c>
      <c r="C40" s="43">
        <v>316400</v>
      </c>
      <c r="D40" s="75"/>
      <c r="M40" s="6">
        <v>1</v>
      </c>
      <c r="N40" s="22"/>
      <c r="O40" s="22" t="str">
        <f>IF(N42=1,H39,K39)</f>
        <v>Bottom 10 Stores by Sales Performance Analysis</v>
      </c>
      <c r="P40" s="22"/>
    </row>
    <row r="41" spans="1:16">
      <c r="A41" s="39" t="s">
        <v>83</v>
      </c>
      <c r="B41" s="44" t="s">
        <v>84</v>
      </c>
      <c r="C41" s="43">
        <v>309150</v>
      </c>
      <c r="E41" t="str" cm="1">
        <f t="array" ref="E41:G50">IF(D40=1,$A$36:$C$45,$A$51:$C$60)</f>
        <v>SM-BAR-005</v>
      </c>
      <c r="F41" t="str">
        <v>Mehedi Khan</v>
      </c>
      <c r="G41" s="10">
        <v>146490</v>
      </c>
      <c r="N41" s="22"/>
      <c r="O41" s="22"/>
      <c r="P41" s="22"/>
    </row>
    <row r="42" spans="1:16">
      <c r="A42" s="39" t="s">
        <v>86</v>
      </c>
      <c r="B42" s="44" t="s">
        <v>87</v>
      </c>
      <c r="C42" s="43">
        <v>294550</v>
      </c>
      <c r="E42" t="str">
        <v>SM-CTG-003</v>
      </c>
      <c r="F42" t="str">
        <v>Rafi Akter</v>
      </c>
      <c r="G42" s="10">
        <v>132740</v>
      </c>
      <c r="H42" s="11" t="s">
        <v>0</v>
      </c>
      <c r="I42" s="11" t="s">
        <v>119</v>
      </c>
      <c r="K42" s="11" t="s">
        <v>0</v>
      </c>
      <c r="L42" s="11" t="s">
        <v>119</v>
      </c>
      <c r="N42" t="str" cm="1">
        <f t="array" ref="N42:O52">IF(M40=1,H42:I52,K42:L52)</f>
        <v>Region</v>
      </c>
      <c r="O42" s="28" t="str">
        <v xml:space="preserve"> Sales_Amount</v>
      </c>
      <c r="P42" s="22"/>
    </row>
    <row r="43" spans="1:16">
      <c r="A43" s="39" t="s">
        <v>89</v>
      </c>
      <c r="B43" s="44" t="s">
        <v>90</v>
      </c>
      <c r="C43" s="43">
        <v>299560</v>
      </c>
      <c r="E43" t="str">
        <v>SM-DHA-005</v>
      </c>
      <c r="F43" t="str">
        <v>Imran Mia</v>
      </c>
      <c r="G43" s="10">
        <v>131450</v>
      </c>
      <c r="H43" s="23" t="s">
        <v>37</v>
      </c>
      <c r="I43" s="71">
        <v>442120</v>
      </c>
      <c r="K43" s="23" t="s">
        <v>53</v>
      </c>
      <c r="L43" s="71">
        <v>213800</v>
      </c>
      <c r="N43" t="str">
        <v>Rajshahi Kazla Store</v>
      </c>
      <c r="O43" s="28">
        <v>442120</v>
      </c>
      <c r="P43" s="68"/>
    </row>
    <row r="44" spans="1:16">
      <c r="A44" s="39" t="s">
        <v>91</v>
      </c>
      <c r="B44" s="44" t="s">
        <v>92</v>
      </c>
      <c r="C44" s="43">
        <v>298350</v>
      </c>
      <c r="E44" t="str">
        <v>SM-KHL-002</v>
      </c>
      <c r="F44" t="str">
        <v>Nusrat Akter</v>
      </c>
      <c r="G44" s="10">
        <v>146950</v>
      </c>
      <c r="H44" s="24" t="s">
        <v>56</v>
      </c>
      <c r="I44" s="72">
        <v>388430</v>
      </c>
      <c r="K44" s="24" t="s">
        <v>22</v>
      </c>
      <c r="L44" s="72">
        <v>213060</v>
      </c>
      <c r="N44" t="str">
        <v>Barishal Kawnia Store</v>
      </c>
      <c r="O44" s="28">
        <v>388430</v>
      </c>
      <c r="P44" s="68"/>
    </row>
    <row r="45" spans="1:16">
      <c r="A45" s="40" t="s">
        <v>93</v>
      </c>
      <c r="B45" s="44" t="s">
        <v>94</v>
      </c>
      <c r="C45" s="41">
        <v>332980</v>
      </c>
      <c r="E45" t="str">
        <v>SM-MYM-001</v>
      </c>
      <c r="F45" t="str">
        <v>Sajib Rahman</v>
      </c>
      <c r="G45" s="10">
        <v>139790</v>
      </c>
      <c r="H45" s="24" t="s">
        <v>9</v>
      </c>
      <c r="I45" s="72">
        <v>374700</v>
      </c>
      <c r="K45" s="24" t="s">
        <v>62</v>
      </c>
      <c r="L45" s="72">
        <v>211990</v>
      </c>
      <c r="N45" t="str">
        <v>Dhaka Dhanmondi Store</v>
      </c>
      <c r="O45" s="28">
        <v>374700</v>
      </c>
      <c r="P45" s="68"/>
    </row>
    <row r="46" spans="1:16">
      <c r="E46" t="str">
        <v>SM-MYM-002</v>
      </c>
      <c r="F46" t="str">
        <v>Rahim Rahman</v>
      </c>
      <c r="G46" s="10">
        <v>117300</v>
      </c>
      <c r="H46" s="24" t="s">
        <v>64</v>
      </c>
      <c r="I46" s="72">
        <v>364560</v>
      </c>
      <c r="K46" s="24" t="s">
        <v>45</v>
      </c>
      <c r="L46" s="72">
        <v>201090</v>
      </c>
      <c r="N46" t="str">
        <v>Chattogram Nasirabad Store</v>
      </c>
      <c r="O46" s="28">
        <v>364560</v>
      </c>
      <c r="P46" s="68"/>
    </row>
    <row r="47" spans="1:16">
      <c r="E47" t="str">
        <v>SM-MYM-006</v>
      </c>
      <c r="F47" t="str">
        <v>Tanvir Chowdhury</v>
      </c>
      <c r="G47" s="10">
        <v>139570</v>
      </c>
      <c r="H47" s="24" t="s">
        <v>28</v>
      </c>
      <c r="I47" s="72">
        <v>350070</v>
      </c>
      <c r="K47" s="24" t="s">
        <v>52</v>
      </c>
      <c r="L47" s="72">
        <v>186370</v>
      </c>
      <c r="N47" t="str">
        <v>Khulna Shibbari Store</v>
      </c>
      <c r="O47" s="28">
        <v>350070</v>
      </c>
      <c r="P47" s="68"/>
    </row>
    <row r="48" spans="1:16">
      <c r="A48" s="7" t="s">
        <v>118</v>
      </c>
      <c r="E48" t="str">
        <v>SM-RAJ-006</v>
      </c>
      <c r="F48" t="str">
        <v>Mim Rahman</v>
      </c>
      <c r="G48" s="10">
        <v>144880</v>
      </c>
      <c r="H48" s="24" t="s">
        <v>58</v>
      </c>
      <c r="I48" s="72">
        <v>318770</v>
      </c>
      <c r="K48" s="24" t="s">
        <v>35</v>
      </c>
      <c r="L48" s="72">
        <v>183710</v>
      </c>
      <c r="N48" t="str">
        <v>Barishal Rupatali Store</v>
      </c>
      <c r="O48" s="28">
        <v>318770</v>
      </c>
      <c r="P48" s="68"/>
    </row>
    <row r="49" spans="1:16">
      <c r="E49" t="str">
        <v>SM-SYL-004</v>
      </c>
      <c r="F49" t="str">
        <v>Rasel Akter</v>
      </c>
      <c r="G49" s="10">
        <v>144970</v>
      </c>
      <c r="H49" s="24" t="s">
        <v>67</v>
      </c>
      <c r="I49" s="72">
        <v>310060</v>
      </c>
      <c r="K49" s="24" t="s">
        <v>61</v>
      </c>
      <c r="L49" s="72">
        <v>175790</v>
      </c>
      <c r="N49" t="str">
        <v>Chattogram Panchlaish Store</v>
      </c>
      <c r="O49" s="28">
        <v>310060</v>
      </c>
      <c r="P49" s="68"/>
    </row>
    <row r="50" spans="1:16">
      <c r="A50" s="45" t="s">
        <v>65</v>
      </c>
      <c r="B50" s="45" t="s">
        <v>66</v>
      </c>
      <c r="C50" s="45" t="s">
        <v>95</v>
      </c>
      <c r="E50" t="str">
        <v>SM-SYL-006</v>
      </c>
      <c r="F50" t="str">
        <v>Rumana Rahman</v>
      </c>
      <c r="G50" s="10">
        <v>114660</v>
      </c>
      <c r="H50" s="24" t="s">
        <v>20</v>
      </c>
      <c r="I50" s="72">
        <v>306700</v>
      </c>
      <c r="K50" s="24" t="s">
        <v>51</v>
      </c>
      <c r="L50" s="72">
        <v>170090</v>
      </c>
      <c r="N50" t="str">
        <v>Khulna Boyra Store</v>
      </c>
      <c r="O50" s="28">
        <v>306700</v>
      </c>
      <c r="P50" s="68"/>
    </row>
    <row r="51" spans="1:16">
      <c r="A51" s="38" t="s">
        <v>96</v>
      </c>
      <c r="B51" s="44" t="s">
        <v>97</v>
      </c>
      <c r="C51" s="42">
        <v>146490</v>
      </c>
      <c r="H51" s="24" t="s">
        <v>16</v>
      </c>
      <c r="I51" s="72">
        <v>301110</v>
      </c>
      <c r="K51" s="24" t="s">
        <v>34</v>
      </c>
      <c r="L51" s="72">
        <v>158070</v>
      </c>
      <c r="N51" t="str">
        <v>Dhaka Uttara Store</v>
      </c>
      <c r="O51" s="28">
        <v>301110</v>
      </c>
      <c r="P51" s="68"/>
    </row>
    <row r="52" spans="1:16">
      <c r="A52" s="39" t="s">
        <v>98</v>
      </c>
      <c r="B52" s="44" t="s">
        <v>99</v>
      </c>
      <c r="C52" s="43">
        <v>132740</v>
      </c>
      <c r="H52" s="25" t="s">
        <v>12</v>
      </c>
      <c r="I52" s="73">
        <v>300800</v>
      </c>
      <c r="K52" s="25" t="s">
        <v>41</v>
      </c>
      <c r="L52" s="73">
        <v>126640</v>
      </c>
      <c r="N52" t="str">
        <v>Dhaka Mirpur Store</v>
      </c>
      <c r="O52" s="28">
        <v>300800</v>
      </c>
      <c r="P52" s="68"/>
    </row>
    <row r="53" spans="1:16">
      <c r="A53" s="39" t="s">
        <v>100</v>
      </c>
      <c r="B53" s="44" t="s">
        <v>101</v>
      </c>
      <c r="C53" s="43">
        <v>131450</v>
      </c>
      <c r="K53" s="10"/>
    </row>
    <row r="54" spans="1:16">
      <c r="A54" s="39" t="s">
        <v>102</v>
      </c>
      <c r="B54" s="44" t="s">
        <v>103</v>
      </c>
      <c r="C54" s="43">
        <v>146950</v>
      </c>
    </row>
    <row r="55" spans="1:16">
      <c r="A55" s="39" t="s">
        <v>104</v>
      </c>
      <c r="B55" s="44" t="s">
        <v>105</v>
      </c>
      <c r="C55" s="43">
        <v>139790</v>
      </c>
    </row>
    <row r="56" spans="1:16">
      <c r="A56" s="39" t="s">
        <v>106</v>
      </c>
      <c r="B56" s="44" t="s">
        <v>107</v>
      </c>
      <c r="C56" s="43">
        <v>117300</v>
      </c>
      <c r="D56" s="9"/>
    </row>
    <row r="57" spans="1:16">
      <c r="A57" s="39" t="s">
        <v>108</v>
      </c>
      <c r="B57" s="44" t="s">
        <v>109</v>
      </c>
      <c r="C57" s="43">
        <v>139570</v>
      </c>
    </row>
    <row r="58" spans="1:16">
      <c r="A58" s="39" t="s">
        <v>110</v>
      </c>
      <c r="B58" s="44" t="s">
        <v>111</v>
      </c>
      <c r="C58" s="43">
        <v>144880</v>
      </c>
      <c r="D58" s="2"/>
    </row>
    <row r="59" spans="1:16">
      <c r="A59" s="39" t="s">
        <v>112</v>
      </c>
      <c r="B59" s="44" t="s">
        <v>113</v>
      </c>
      <c r="C59" s="43">
        <v>144970</v>
      </c>
      <c r="D59" s="2"/>
    </row>
    <row r="60" spans="1:16">
      <c r="A60" s="40" t="s">
        <v>114</v>
      </c>
      <c r="B60" s="44" t="s">
        <v>115</v>
      </c>
      <c r="C60" s="41">
        <v>114660</v>
      </c>
      <c r="D60" s="2"/>
    </row>
    <row r="61" spans="1:16">
      <c r="A61" s="10"/>
      <c r="D61" s="2"/>
    </row>
    <row r="62" spans="1:16">
      <c r="D62" s="2"/>
    </row>
    <row r="63" spans="1:16">
      <c r="D63" s="2"/>
    </row>
    <row r="64" spans="1:16">
      <c r="D64" s="2"/>
    </row>
    <row r="65" spans="4:4">
      <c r="D65" s="2"/>
    </row>
    <row r="66" spans="4:4">
      <c r="D66" s="2"/>
    </row>
  </sheetData>
  <conditionalFormatting pivot="1" sqref="C20:C27">
    <cfRule type="colorScale" priority="19">
      <colorScale>
        <cfvo type="min"/>
        <cfvo type="max"/>
        <color rgb="FF0070C0"/>
        <color rgb="FFFCFCFF"/>
      </colorScale>
    </cfRule>
  </conditionalFormatting>
  <conditionalFormatting pivot="1" sqref="E20:E27">
    <cfRule type="colorScale" priority="18">
      <colorScale>
        <cfvo type="min"/>
        <cfvo type="max"/>
        <color rgb="FFFCFCFF"/>
        <color rgb="FF0070C0"/>
      </colorScale>
    </cfRule>
  </conditionalFormatting>
  <conditionalFormatting pivot="1" sqref="L27:L34">
    <cfRule type="dataBar" priority="17">
      <dataBar>
        <cfvo type="min"/>
        <cfvo type="formula" val="$L$29*2"/>
        <color rgb="FF63C384"/>
      </dataBar>
      <extLst>
        <ext xmlns:x14="http://schemas.microsoft.com/office/spreadsheetml/2009/9/main" uri="{B025F937-C7B1-47D3-B67F-A62EFF666E3E}">
          <x14:id>{BB465CC8-F376-4AC5-A178-14068DEB15DA}</x14:id>
        </ext>
      </extLst>
    </cfRule>
  </conditionalFormatting>
  <conditionalFormatting pivot="1" sqref="K27:K34">
    <cfRule type="dataBar" priority="16">
      <dataBar>
        <cfvo type="min"/>
        <cfvo type="formula" val="$L$29*2"/>
        <color rgb="FFFFB628"/>
      </dataBar>
      <extLst>
        <ext xmlns:x14="http://schemas.microsoft.com/office/spreadsheetml/2009/9/main" uri="{B025F937-C7B1-47D3-B67F-A62EFF666E3E}">
          <x14:id>{0B8D638C-7D38-4D85-A15F-8DF3E315690C}</x14:id>
        </ext>
      </extLst>
    </cfRule>
  </conditionalFormatting>
  <conditionalFormatting pivot="1" sqref="J27:J34">
    <cfRule type="dataBar" priority="15">
      <dataBar>
        <cfvo type="min"/>
        <cfvo type="formula" val="$L$29*2"/>
        <color rgb="FFFFB9BB"/>
      </dataBar>
      <extLst>
        <ext xmlns:x14="http://schemas.microsoft.com/office/spreadsheetml/2009/9/main" uri="{B025F937-C7B1-47D3-B67F-A62EFF666E3E}">
          <x14:id>{C3C04A8D-4874-4F22-BF78-B275D7A73378}</x14:id>
        </ext>
      </extLst>
    </cfRule>
  </conditionalFormatting>
  <conditionalFormatting pivot="1" sqref="I27:I34">
    <cfRule type="dataBar" priority="14">
      <dataBar>
        <cfvo type="min"/>
        <cfvo type="formula" val="$L$29*2"/>
        <color rgb="FFFF555A"/>
      </dataBar>
      <extLst>
        <ext xmlns:x14="http://schemas.microsoft.com/office/spreadsheetml/2009/9/main" uri="{B025F937-C7B1-47D3-B67F-A62EFF666E3E}">
          <x14:id>{D37B9D6E-D7B8-4DD0-9F04-CEC222E5B049}</x14:id>
        </ext>
      </extLst>
    </cfRule>
  </conditionalFormatting>
  <conditionalFormatting sqref="H39">
    <cfRule type="containsText" dxfId="317" priority="1" operator="containsText" text="Top 10 Salespersons Contribution to Total Sales">
      <formula>NOT(ISERROR(SEARCH("Top 10 Salespersons Contribution to Total Sales",H39)))</formula>
    </cfRule>
  </conditionalFormatting>
  <pageMargins left="0.7" right="0.7" top="0.75" bottom="0.75" header="0.3" footer="0.3"/>
  <pageSetup orientation="portrait" r:id="rId10"/>
  <drawing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BB465CC8-F376-4AC5-A178-14068DEB15DA}">
            <x14:dataBar minLength="0" maxLength="100" border="1" negativeBarBorderColorSameAsPositive="0">
              <x14:cfvo type="autoMin"/>
              <x14:cfvo type="formula">
                <xm:f>$L$29*2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L27:L34</xm:sqref>
        </x14:conditionalFormatting>
        <x14:conditionalFormatting xmlns:xm="http://schemas.microsoft.com/office/excel/2006/main" pivot="1">
          <x14:cfRule type="dataBar" id="{0B8D638C-7D38-4D85-A15F-8DF3E315690C}">
            <x14:dataBar minLength="0" maxLength="100" border="1" negativeBarBorderColorSameAsPositive="0">
              <x14:cfvo type="autoMin"/>
              <x14:cfvo type="formula">
                <xm:f>$L$29*2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K27:K34</xm:sqref>
        </x14:conditionalFormatting>
        <x14:conditionalFormatting xmlns:xm="http://schemas.microsoft.com/office/excel/2006/main" pivot="1">
          <x14:cfRule type="dataBar" id="{C3C04A8D-4874-4F22-BF78-B275D7A73378}">
            <x14:dataBar minLength="0" maxLength="100" border="1" negativeBarBorderColorSameAsPositive="0">
              <x14:cfvo type="autoMin"/>
              <x14:cfvo type="formula">
                <xm:f>$L$29*2</xm:f>
              </x14:cfvo>
              <x14:borderColor rgb="FFFFB9BB"/>
              <x14:negativeFillColor rgb="FFFF0000"/>
              <x14:negativeBorderColor rgb="FFFF0000"/>
              <x14:axisColor rgb="FF000000"/>
            </x14:dataBar>
          </x14:cfRule>
          <xm:sqref>J27:J34</xm:sqref>
        </x14:conditionalFormatting>
        <x14:conditionalFormatting xmlns:xm="http://schemas.microsoft.com/office/excel/2006/main" pivot="1">
          <x14:cfRule type="dataBar" id="{D37B9D6E-D7B8-4DD0-9F04-CEC222E5B049}">
            <x14:dataBar minLength="0" maxLength="100" gradient="0">
              <x14:cfvo type="autoMin"/>
              <x14:cfvo type="formula">
                <xm:f>$L$29*2</xm:f>
              </x14:cfvo>
              <x14:negativeFillColor rgb="FFFF0000"/>
              <x14:axisColor rgb="FF000000"/>
            </x14:dataBar>
          </x14:cfRule>
          <xm:sqref>I27:I34</xm:sqref>
        </x14:conditionalFormatting>
        <x14:conditionalFormatting xmlns:xm="http://schemas.microsoft.com/office/excel/2006/main">
          <x14:cfRule type="containsText" priority="23" stopIfTrue="1" operator="containsText" id="{545A8C29-CBF6-4882-AD4E-D08995CCA198}">
            <xm:f>NOT(ISERROR(SEARCH($A$48,D56)))</xm:f>
            <xm:f>$A$48</xm:f>
            <x14:dxf>
              <font>
                <color rgb="FFC00000"/>
              </font>
            </x14:dxf>
          </x14:cfRule>
          <x14:cfRule type="containsText" priority="24" stopIfTrue="1" operator="containsText" id="{235D07BD-88FB-4BF0-8C1A-7FC013BC0D82}">
            <xm:f>NOT(ISERROR(SEARCH($A$33,D56)))</xm:f>
            <xm:f>$A$33</xm:f>
            <x14:dxf>
              <font>
                <color rgb="FF00B050"/>
              </font>
            </x14:dxf>
          </x14:cfRule>
          <xm:sqref>D56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23BA-3FB0-444A-B95E-45124CCEFD73}">
  <dimension ref="E5:N54"/>
  <sheetViews>
    <sheetView zoomScale="50" zoomScaleNormal="100" workbookViewId="0"/>
  </sheetViews>
  <sheetFormatPr defaultRowHeight="13.8"/>
  <cols>
    <col min="5" max="5" width="17.19921875" bestFit="1" customWidth="1"/>
    <col min="6" max="6" width="26.69921875" bestFit="1" customWidth="1"/>
    <col min="7" max="7" width="24.09765625" bestFit="1" customWidth="1"/>
  </cols>
  <sheetData>
    <row r="5" spans="5:7">
      <c r="E5" s="11" t="s">
        <v>0</v>
      </c>
      <c r="F5" s="11" t="s">
        <v>2</v>
      </c>
      <c r="G5" s="11" t="s">
        <v>3</v>
      </c>
    </row>
    <row r="6" spans="5:7">
      <c r="E6" t="s">
        <v>8</v>
      </c>
      <c r="F6" t="s">
        <v>9</v>
      </c>
      <c r="G6" s="2">
        <v>2.875</v>
      </c>
    </row>
    <row r="7" spans="5:7">
      <c r="F7" t="s">
        <v>11</v>
      </c>
      <c r="G7" s="2">
        <v>2.6666666666666665</v>
      </c>
    </row>
    <row r="8" spans="5:7">
      <c r="F8" t="s">
        <v>12</v>
      </c>
      <c r="G8" s="2">
        <v>3.2142857142857144</v>
      </c>
    </row>
    <row r="9" spans="5:7">
      <c r="F9" t="s">
        <v>14</v>
      </c>
      <c r="G9" s="2">
        <v>3.28</v>
      </c>
    </row>
    <row r="10" spans="5:7">
      <c r="F10" t="s">
        <v>16</v>
      </c>
      <c r="G10" s="2">
        <v>2.7777777777777777</v>
      </c>
    </row>
    <row r="11" spans="5:7">
      <c r="E11" t="s">
        <v>18</v>
      </c>
      <c r="G11" s="2">
        <v>2.96875</v>
      </c>
    </row>
    <row r="12" spans="5:7">
      <c r="E12" t="s">
        <v>13</v>
      </c>
      <c r="F12" t="s">
        <v>20</v>
      </c>
      <c r="G12" s="2">
        <v>3.68</v>
      </c>
    </row>
    <row r="13" spans="5:7">
      <c r="F13" t="s">
        <v>22</v>
      </c>
      <c r="G13" s="2">
        <v>3.4</v>
      </c>
    </row>
    <row r="14" spans="5:7">
      <c r="F14" t="s">
        <v>27</v>
      </c>
      <c r="G14" s="2">
        <v>3.6363636363636362</v>
      </c>
    </row>
    <row r="15" spans="5:7">
      <c r="F15" t="s">
        <v>28</v>
      </c>
      <c r="G15" s="2">
        <v>4.125</v>
      </c>
    </row>
    <row r="16" spans="5:7">
      <c r="F16" t="s">
        <v>29</v>
      </c>
      <c r="G16" s="2">
        <v>3.7692307692307692</v>
      </c>
    </row>
    <row r="17" spans="5:7">
      <c r="E17" t="s">
        <v>30</v>
      </c>
      <c r="G17" s="2">
        <v>3.7461538461538462</v>
      </c>
    </row>
    <row r="18" spans="5:7">
      <c r="E18" t="s">
        <v>21</v>
      </c>
      <c r="F18" t="s">
        <v>31</v>
      </c>
      <c r="G18" s="2">
        <v>3.4090909090909092</v>
      </c>
    </row>
    <row r="19" spans="5:7">
      <c r="F19" t="s">
        <v>32</v>
      </c>
      <c r="G19" s="2">
        <v>4.1739130434782608</v>
      </c>
    </row>
    <row r="20" spans="5:7">
      <c r="F20" t="s">
        <v>33</v>
      </c>
      <c r="G20" s="2">
        <v>4.0555555555555554</v>
      </c>
    </row>
    <row r="21" spans="5:7">
      <c r="F21" t="s">
        <v>34</v>
      </c>
      <c r="G21" s="2">
        <v>3.9090909090909092</v>
      </c>
    </row>
    <row r="22" spans="5:7">
      <c r="F22" t="s">
        <v>35</v>
      </c>
      <c r="G22" s="2">
        <v>3.3684210526315788</v>
      </c>
    </row>
    <row r="23" spans="5:7">
      <c r="E23" t="s">
        <v>36</v>
      </c>
      <c r="G23" s="2">
        <v>3.7884615384615383</v>
      </c>
    </row>
    <row r="24" spans="5:7">
      <c r="E24" t="s">
        <v>17</v>
      </c>
      <c r="F24" t="s">
        <v>37</v>
      </c>
      <c r="G24" s="2">
        <v>4.2564102564102564</v>
      </c>
    </row>
    <row r="25" spans="5:7">
      <c r="F25" t="s">
        <v>38</v>
      </c>
      <c r="G25" s="2">
        <v>4.5161290322580649</v>
      </c>
    </row>
    <row r="26" spans="5:7">
      <c r="F26" t="s">
        <v>39</v>
      </c>
      <c r="G26" s="2">
        <v>4.1904761904761907</v>
      </c>
    </row>
    <row r="27" spans="5:7">
      <c r="F27" t="s">
        <v>40</v>
      </c>
      <c r="G27" s="2">
        <v>4.083333333333333</v>
      </c>
    </row>
    <row r="28" spans="5:7">
      <c r="F28" t="s">
        <v>41</v>
      </c>
      <c r="G28" s="2">
        <v>4.3913043478260869</v>
      </c>
    </row>
    <row r="29" spans="5:7">
      <c r="E29" t="s">
        <v>42</v>
      </c>
      <c r="G29" s="2">
        <v>4.2971014492753623</v>
      </c>
    </row>
    <row r="30" spans="5:7">
      <c r="E30" t="s">
        <v>15</v>
      </c>
      <c r="F30" t="s">
        <v>45</v>
      </c>
      <c r="G30" s="2">
        <v>5.1363636363636367</v>
      </c>
    </row>
    <row r="31" spans="5:7">
      <c r="F31" t="s">
        <v>50</v>
      </c>
      <c r="G31" s="2">
        <v>4.125</v>
      </c>
    </row>
    <row r="32" spans="5:7">
      <c r="F32" t="s">
        <v>51</v>
      </c>
      <c r="G32" s="2">
        <v>4.1111111111111107</v>
      </c>
    </row>
    <row r="33" spans="5:14">
      <c r="F33" t="s">
        <v>52</v>
      </c>
      <c r="G33" s="2">
        <v>4.4642857142857144</v>
      </c>
    </row>
    <row r="34" spans="5:14">
      <c r="F34" t="s">
        <v>53</v>
      </c>
      <c r="G34" s="2">
        <v>4.92</v>
      </c>
      <c r="N34" s="74"/>
    </row>
    <row r="35" spans="5:14">
      <c r="E35" t="s">
        <v>54</v>
      </c>
      <c r="G35" s="2">
        <v>4.5641025641025639</v>
      </c>
    </row>
    <row r="36" spans="5:14">
      <c r="E36" t="s">
        <v>7</v>
      </c>
      <c r="F36" t="s">
        <v>55</v>
      </c>
      <c r="G36" s="2">
        <v>5.2222222222222223</v>
      </c>
    </row>
    <row r="37" spans="5:14">
      <c r="F37" t="s">
        <v>56</v>
      </c>
      <c r="G37" s="2">
        <v>5.4444444444444446</v>
      </c>
    </row>
    <row r="38" spans="5:14">
      <c r="F38" t="s">
        <v>57</v>
      </c>
      <c r="G38" s="2">
        <v>5.2666666666666666</v>
      </c>
    </row>
    <row r="39" spans="5:14">
      <c r="F39" t="s">
        <v>58</v>
      </c>
      <c r="G39" s="2">
        <v>5.916666666666667</v>
      </c>
    </row>
    <row r="40" spans="5:14">
      <c r="F40" t="s">
        <v>59</v>
      </c>
      <c r="G40" s="2">
        <v>5.083333333333333</v>
      </c>
    </row>
    <row r="41" spans="5:14">
      <c r="E41" t="s">
        <v>60</v>
      </c>
      <c r="G41" s="2">
        <v>5.3787878787878789</v>
      </c>
    </row>
    <row r="42" spans="5:14">
      <c r="E42" t="s">
        <v>10</v>
      </c>
      <c r="F42" t="s">
        <v>61</v>
      </c>
      <c r="G42" s="2">
        <v>5.05</v>
      </c>
    </row>
    <row r="43" spans="5:14">
      <c r="F43" t="s">
        <v>62</v>
      </c>
      <c r="G43" s="2">
        <v>5.333333333333333</v>
      </c>
    </row>
    <row r="44" spans="5:14">
      <c r="F44" t="s">
        <v>63</v>
      </c>
      <c r="G44" s="2">
        <v>5.76</v>
      </c>
    </row>
    <row r="45" spans="5:14">
      <c r="F45" t="s">
        <v>64</v>
      </c>
      <c r="G45" s="2">
        <v>5.3030303030303028</v>
      </c>
    </row>
    <row r="46" spans="5:14">
      <c r="F46" t="s">
        <v>67</v>
      </c>
      <c r="G46" s="2">
        <v>5.75</v>
      </c>
    </row>
    <row r="47" spans="5:14">
      <c r="E47" t="s">
        <v>70</v>
      </c>
      <c r="G47" s="2">
        <v>5.4566929133858268</v>
      </c>
    </row>
    <row r="48" spans="5:14">
      <c r="E48" t="s">
        <v>19</v>
      </c>
      <c r="F48" t="s">
        <v>73</v>
      </c>
      <c r="G48" s="2">
        <v>7.25</v>
      </c>
    </row>
    <row r="49" spans="5:7">
      <c r="F49" t="s">
        <v>76</v>
      </c>
      <c r="G49" s="2">
        <v>5.8</v>
      </c>
    </row>
    <row r="50" spans="5:7">
      <c r="F50" t="s">
        <v>79</v>
      </c>
      <c r="G50" s="2">
        <v>6.2333333333333334</v>
      </c>
    </row>
    <row r="51" spans="5:7">
      <c r="F51" t="s">
        <v>82</v>
      </c>
      <c r="G51" s="2">
        <v>6.1428571428571432</v>
      </c>
    </row>
    <row r="52" spans="5:7">
      <c r="F52" t="s">
        <v>85</v>
      </c>
      <c r="G52" s="2">
        <v>6.75</v>
      </c>
    </row>
    <row r="53" spans="5:7">
      <c r="E53" t="s">
        <v>88</v>
      </c>
      <c r="G53" s="2">
        <v>6.42741935483871</v>
      </c>
    </row>
    <row r="54" spans="5:7">
      <c r="E54" s="11" t="s">
        <v>26</v>
      </c>
      <c r="F54" s="11"/>
      <c r="G54" s="11">
        <v>4.5880000000000001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B9F7-A86F-45D3-8127-35279E01CBDA}">
  <dimension ref="J2:AA62"/>
  <sheetViews>
    <sheetView showGridLines="0" topLeftCell="B12" zoomScale="45" workbookViewId="0">
      <selection activeCell="E25" sqref="E25"/>
    </sheetView>
  </sheetViews>
  <sheetFormatPr defaultRowHeight="13.8"/>
  <cols>
    <col min="10" max="10" width="9" customWidth="1"/>
    <col min="11" max="12" width="22" customWidth="1"/>
    <col min="13" max="13" width="14" customWidth="1"/>
    <col min="14" max="14" width="13" customWidth="1"/>
    <col min="15" max="15" width="9" customWidth="1"/>
    <col min="16" max="16" width="22" customWidth="1"/>
    <col min="17" max="17" width="11" customWidth="1"/>
    <col min="18" max="18" width="18" customWidth="1"/>
    <col min="19" max="19" width="20" customWidth="1"/>
    <col min="20" max="21" width="14" customWidth="1"/>
    <col min="22" max="22" width="10" customWidth="1"/>
    <col min="23" max="23" width="12" customWidth="1"/>
    <col min="24" max="25" width="10" customWidth="1"/>
    <col min="26" max="26" width="14" customWidth="1"/>
    <col min="27" max="27" width="13" customWidth="1"/>
  </cols>
  <sheetData>
    <row r="2" spans="10:27" ht="14.4" thickBot="1"/>
    <row r="3" spans="10:27" ht="28.05" customHeight="1">
      <c r="J3" s="128" t="s">
        <v>173</v>
      </c>
      <c r="K3" s="129" t="s">
        <v>173</v>
      </c>
      <c r="L3" s="129" t="s">
        <v>173</v>
      </c>
      <c r="M3" s="129" t="s">
        <v>173</v>
      </c>
      <c r="N3" s="129" t="s">
        <v>173</v>
      </c>
      <c r="O3" s="129" t="s">
        <v>173</v>
      </c>
      <c r="P3" s="129" t="s">
        <v>173</v>
      </c>
      <c r="Q3" s="129" t="s">
        <v>173</v>
      </c>
      <c r="R3" s="129" t="s">
        <v>173</v>
      </c>
      <c r="S3" s="129" t="s">
        <v>173</v>
      </c>
      <c r="T3" s="129" t="s">
        <v>173</v>
      </c>
      <c r="U3" s="129" t="s">
        <v>173</v>
      </c>
      <c r="V3" s="129" t="s">
        <v>173</v>
      </c>
      <c r="W3" s="129" t="s">
        <v>173</v>
      </c>
      <c r="X3" s="129" t="s">
        <v>173</v>
      </c>
      <c r="Y3" s="129" t="s">
        <v>173</v>
      </c>
      <c r="Z3" s="129" t="s">
        <v>173</v>
      </c>
      <c r="AA3" s="130" t="s">
        <v>173</v>
      </c>
    </row>
    <row r="4" spans="10:27" ht="28.05" customHeight="1" thickBot="1">
      <c r="J4" s="131" t="s">
        <v>173</v>
      </c>
      <c r="K4" s="132" t="s">
        <v>173</v>
      </c>
      <c r="L4" s="132" t="s">
        <v>173</v>
      </c>
      <c r="M4" s="132" t="s">
        <v>173</v>
      </c>
      <c r="N4" s="132" t="s">
        <v>173</v>
      </c>
      <c r="O4" s="132" t="s">
        <v>173</v>
      </c>
      <c r="P4" s="132" t="s">
        <v>173</v>
      </c>
      <c r="Q4" s="132" t="s">
        <v>173</v>
      </c>
      <c r="R4" s="132" t="s">
        <v>173</v>
      </c>
      <c r="S4" s="132" t="s">
        <v>173</v>
      </c>
      <c r="T4" s="132" t="s">
        <v>173</v>
      </c>
      <c r="U4" s="132" t="s">
        <v>173</v>
      </c>
      <c r="V4" s="132" t="s">
        <v>173</v>
      </c>
      <c r="W4" s="132" t="s">
        <v>173</v>
      </c>
      <c r="X4" s="132" t="s">
        <v>173</v>
      </c>
      <c r="Y4" s="132" t="s">
        <v>173</v>
      </c>
      <c r="Z4" s="132" t="s">
        <v>173</v>
      </c>
      <c r="AA4" s="133" t="s">
        <v>173</v>
      </c>
    </row>
    <row r="5" spans="10:27" ht="24" customHeight="1">
      <c r="J5" s="134" t="s">
        <v>172</v>
      </c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</row>
    <row r="6" spans="10:27" ht="15" thickBot="1"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</row>
    <row r="7" spans="10:27" ht="22.05" customHeight="1" thickBot="1">
      <c r="J7" s="119" t="s">
        <v>116</v>
      </c>
      <c r="K7" s="120" t="s">
        <v>116</v>
      </c>
      <c r="L7" s="121" t="s">
        <v>116</v>
      </c>
      <c r="M7" s="119" t="s">
        <v>171</v>
      </c>
      <c r="N7" s="120" t="s">
        <v>171</v>
      </c>
      <c r="O7" s="121" t="s">
        <v>171</v>
      </c>
      <c r="P7" s="119" t="s">
        <v>170</v>
      </c>
      <c r="Q7" s="120" t="s">
        <v>170</v>
      </c>
      <c r="R7" s="121" t="s">
        <v>170</v>
      </c>
      <c r="S7" s="119" t="s">
        <v>169</v>
      </c>
      <c r="T7" s="120" t="s">
        <v>169</v>
      </c>
      <c r="U7" s="121" t="s">
        <v>169</v>
      </c>
      <c r="V7" s="119" t="s">
        <v>158</v>
      </c>
      <c r="W7" s="120" t="s">
        <v>158</v>
      </c>
      <c r="X7" s="120" t="s">
        <v>158</v>
      </c>
      <c r="Y7" s="120" t="s">
        <v>158</v>
      </c>
      <c r="Z7" s="120" t="s">
        <v>158</v>
      </c>
      <c r="AA7" s="121" t="s">
        <v>158</v>
      </c>
    </row>
    <row r="8" spans="10:27" ht="22.05" customHeight="1">
      <c r="J8" s="122">
        <v>1000</v>
      </c>
      <c r="K8" s="123"/>
      <c r="L8" s="124"/>
      <c r="M8" s="122">
        <v>10372470</v>
      </c>
      <c r="N8" s="123"/>
      <c r="O8" s="124"/>
      <c r="P8" s="122">
        <v>11399649</v>
      </c>
      <c r="Q8" s="123"/>
      <c r="R8" s="124"/>
      <c r="S8" s="135">
        <v>0.90989380462503711</v>
      </c>
      <c r="T8" s="123"/>
      <c r="U8" s="124"/>
      <c r="V8" s="122">
        <v>1027179</v>
      </c>
      <c r="W8" s="123"/>
      <c r="X8" s="123"/>
      <c r="Y8" s="123"/>
      <c r="Z8" s="123"/>
      <c r="AA8" s="124"/>
    </row>
    <row r="9" spans="10:27" ht="22.05" customHeight="1" thickBot="1">
      <c r="J9" s="125"/>
      <c r="K9" s="126"/>
      <c r="L9" s="127"/>
      <c r="M9" s="125"/>
      <c r="N9" s="126"/>
      <c r="O9" s="127"/>
      <c r="P9" s="125"/>
      <c r="Q9" s="126"/>
      <c r="R9" s="127"/>
      <c r="S9" s="125"/>
      <c r="T9" s="126"/>
      <c r="U9" s="127"/>
      <c r="V9" s="125"/>
      <c r="W9" s="126"/>
      <c r="X9" s="126"/>
      <c r="Y9" s="126"/>
      <c r="Z9" s="126"/>
      <c r="AA9" s="127"/>
    </row>
    <row r="10" spans="10:27" ht="15" thickBot="1"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10:27" ht="24" customHeight="1" thickBot="1">
      <c r="J11" s="113" t="s">
        <v>168</v>
      </c>
      <c r="K11" s="114" t="s">
        <v>168</v>
      </c>
      <c r="L11" s="114" t="s">
        <v>168</v>
      </c>
      <c r="M11" s="114" t="s">
        <v>168</v>
      </c>
      <c r="N11" s="114" t="s">
        <v>168</v>
      </c>
      <c r="O11" s="114" t="s">
        <v>168</v>
      </c>
      <c r="P11" s="114" t="s">
        <v>168</v>
      </c>
      <c r="Q11" s="114" t="s">
        <v>168</v>
      </c>
      <c r="R11" s="114" t="s">
        <v>168</v>
      </c>
      <c r="S11" s="114" t="s">
        <v>168</v>
      </c>
      <c r="T11" s="114" t="s">
        <v>168</v>
      </c>
      <c r="U11" s="114" t="s">
        <v>168</v>
      </c>
      <c r="V11" s="114" t="s">
        <v>168</v>
      </c>
      <c r="W11" s="114" t="s">
        <v>168</v>
      </c>
      <c r="X11" s="114" t="s">
        <v>168</v>
      </c>
      <c r="Y11" s="114" t="s">
        <v>168</v>
      </c>
      <c r="Z11" s="114" t="s">
        <v>168</v>
      </c>
      <c r="AA11" s="115" t="s">
        <v>168</v>
      </c>
    </row>
    <row r="12" spans="10:27" ht="22.05" customHeight="1">
      <c r="J12" s="116" t="s">
        <v>167</v>
      </c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8"/>
    </row>
    <row r="13" spans="10:27" ht="22.05" customHeight="1">
      <c r="J13" s="107" t="s">
        <v>166</v>
      </c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9"/>
    </row>
    <row r="14" spans="10:27" ht="22.05" customHeight="1">
      <c r="J14" s="107" t="s">
        <v>165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9"/>
    </row>
    <row r="15" spans="10:27" ht="22.05" customHeight="1">
      <c r="J15" s="107" t="s">
        <v>164</v>
      </c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9"/>
    </row>
    <row r="16" spans="10:27" ht="22.05" customHeight="1">
      <c r="J16" s="110" t="s">
        <v>163</v>
      </c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2"/>
    </row>
    <row r="17" spans="10:27" ht="15" thickBot="1"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</row>
    <row r="18" spans="10:27" ht="22.95" customHeight="1" thickBot="1">
      <c r="J18" s="113" t="s">
        <v>162</v>
      </c>
      <c r="K18" s="114" t="s">
        <v>162</v>
      </c>
      <c r="L18" s="114" t="s">
        <v>162</v>
      </c>
      <c r="M18" s="114" t="s">
        <v>162</v>
      </c>
      <c r="N18" s="114" t="s">
        <v>162</v>
      </c>
      <c r="O18" s="115" t="s">
        <v>162</v>
      </c>
      <c r="P18" s="76"/>
      <c r="Q18" s="113" t="s">
        <v>161</v>
      </c>
      <c r="R18" s="114" t="s">
        <v>161</v>
      </c>
      <c r="S18" s="115" t="s">
        <v>161</v>
      </c>
      <c r="T18" s="76"/>
      <c r="U18" s="113" t="s">
        <v>160</v>
      </c>
      <c r="V18" s="114" t="s">
        <v>160</v>
      </c>
      <c r="W18" s="114" t="s">
        <v>160</v>
      </c>
      <c r="X18" s="114" t="s">
        <v>160</v>
      </c>
      <c r="Y18" s="114" t="s">
        <v>160</v>
      </c>
      <c r="Z18" s="114" t="s">
        <v>160</v>
      </c>
      <c r="AA18" s="115" t="s">
        <v>160</v>
      </c>
    </row>
    <row r="19" spans="10:27" ht="30" customHeight="1">
      <c r="J19" s="85" t="s">
        <v>24</v>
      </c>
      <c r="K19" s="85" t="s">
        <v>0</v>
      </c>
      <c r="L19" s="85" t="s">
        <v>125</v>
      </c>
      <c r="M19" s="85" t="s">
        <v>159</v>
      </c>
      <c r="N19" s="85" t="s">
        <v>158</v>
      </c>
      <c r="O19" s="85" t="s">
        <v>157</v>
      </c>
      <c r="P19" s="76"/>
      <c r="Q19" s="85" t="s">
        <v>156</v>
      </c>
      <c r="R19" s="85" t="s">
        <v>0</v>
      </c>
      <c r="S19" s="85" t="s">
        <v>1</v>
      </c>
      <c r="T19" s="76"/>
      <c r="U19" s="85" t="s">
        <v>0</v>
      </c>
      <c r="V19" s="85" t="s">
        <v>155</v>
      </c>
      <c r="W19" s="85" t="s">
        <v>154</v>
      </c>
      <c r="X19" s="85" t="s">
        <v>153</v>
      </c>
      <c r="Y19" s="85" t="s">
        <v>152</v>
      </c>
      <c r="Z19" s="85" t="s">
        <v>43</v>
      </c>
      <c r="AA19" s="85" t="s">
        <v>151</v>
      </c>
    </row>
    <row r="20" spans="10:27" ht="19.05" customHeight="1">
      <c r="J20" s="84">
        <v>1</v>
      </c>
      <c r="K20" s="83" t="s">
        <v>7</v>
      </c>
      <c r="L20" s="82">
        <v>1498090</v>
      </c>
      <c r="M20" s="82">
        <v>1677860</v>
      </c>
      <c r="N20" s="99">
        <v>179770</v>
      </c>
      <c r="O20" s="81">
        <v>0.89285756856948728</v>
      </c>
      <c r="P20" s="76"/>
      <c r="Q20" s="84">
        <v>1</v>
      </c>
      <c r="R20" s="83" t="s">
        <v>8</v>
      </c>
      <c r="S20" s="98">
        <v>2.96875</v>
      </c>
      <c r="T20" s="76"/>
      <c r="U20" s="83" t="s">
        <v>8</v>
      </c>
      <c r="V20" s="82">
        <v>1</v>
      </c>
      <c r="W20" s="82">
        <v>2</v>
      </c>
      <c r="X20" s="82">
        <v>44</v>
      </c>
      <c r="Y20" s="82">
        <v>81</v>
      </c>
      <c r="Z20" s="82">
        <v>128</v>
      </c>
      <c r="AA20" s="100">
        <v>0.6328125</v>
      </c>
    </row>
    <row r="21" spans="10:27" ht="19.05" customHeight="1">
      <c r="J21" s="84">
        <v>2</v>
      </c>
      <c r="K21" s="83" t="s">
        <v>8</v>
      </c>
      <c r="L21" s="82">
        <v>1490960</v>
      </c>
      <c r="M21" s="82">
        <v>1580413</v>
      </c>
      <c r="N21" s="99">
        <v>89453</v>
      </c>
      <c r="O21" s="81">
        <v>0.94339897229395098</v>
      </c>
      <c r="P21" s="76"/>
      <c r="Q21" s="84">
        <v>2</v>
      </c>
      <c r="R21" s="83" t="s">
        <v>13</v>
      </c>
      <c r="S21" s="98">
        <v>3.7461538461538462</v>
      </c>
      <c r="T21" s="76"/>
      <c r="U21" s="83" t="s">
        <v>13</v>
      </c>
      <c r="V21" s="82">
        <v>0</v>
      </c>
      <c r="W21" s="82">
        <v>10</v>
      </c>
      <c r="X21" s="82">
        <v>65</v>
      </c>
      <c r="Y21" s="82">
        <v>55</v>
      </c>
      <c r="Z21" s="82">
        <v>130</v>
      </c>
      <c r="AA21" s="81">
        <v>0.42307692307692307</v>
      </c>
    </row>
    <row r="22" spans="10:27" ht="19.05" customHeight="1">
      <c r="J22" s="84">
        <v>3</v>
      </c>
      <c r="K22" s="83" t="s">
        <v>13</v>
      </c>
      <c r="L22" s="82">
        <v>1383370</v>
      </c>
      <c r="M22" s="82">
        <v>1507877</v>
      </c>
      <c r="N22" s="82">
        <v>124507</v>
      </c>
      <c r="O22" s="81">
        <v>0.91742894148528031</v>
      </c>
      <c r="P22" s="76"/>
      <c r="Q22" s="84">
        <v>3</v>
      </c>
      <c r="R22" s="83" t="s">
        <v>21</v>
      </c>
      <c r="S22" s="97">
        <v>3.7884615384615383</v>
      </c>
      <c r="T22" s="76"/>
      <c r="U22" s="83" t="s">
        <v>17</v>
      </c>
      <c r="V22" s="82">
        <v>0</v>
      </c>
      <c r="W22" s="82">
        <v>17</v>
      </c>
      <c r="X22" s="82">
        <v>74</v>
      </c>
      <c r="Y22" s="82">
        <v>47</v>
      </c>
      <c r="Z22" s="82">
        <v>138</v>
      </c>
      <c r="AA22" s="81">
        <v>0.34057971014492755</v>
      </c>
    </row>
    <row r="23" spans="10:27" ht="19.05" customHeight="1">
      <c r="J23" s="84">
        <v>4</v>
      </c>
      <c r="K23" s="83" t="s">
        <v>17</v>
      </c>
      <c r="L23" s="82">
        <v>1330400</v>
      </c>
      <c r="M23" s="82">
        <v>1436830</v>
      </c>
      <c r="N23" s="82">
        <v>106430</v>
      </c>
      <c r="O23" s="81">
        <v>0.92592721477140649</v>
      </c>
      <c r="P23" s="76"/>
      <c r="Q23" s="84">
        <v>4</v>
      </c>
      <c r="R23" s="83" t="s">
        <v>17</v>
      </c>
      <c r="S23" s="97">
        <v>4.2971014492753623</v>
      </c>
      <c r="T23" s="76"/>
      <c r="U23" s="83" t="s">
        <v>21</v>
      </c>
      <c r="V23" s="82">
        <v>0</v>
      </c>
      <c r="W23" s="82">
        <v>5</v>
      </c>
      <c r="X23" s="82">
        <v>58</v>
      </c>
      <c r="Y23" s="82">
        <v>41</v>
      </c>
      <c r="Z23" s="82">
        <v>104</v>
      </c>
      <c r="AA23" s="81">
        <v>0.39423076923076922</v>
      </c>
    </row>
    <row r="24" spans="10:27" ht="19.05" customHeight="1">
      <c r="J24" s="84">
        <v>5</v>
      </c>
      <c r="K24" s="83" t="s">
        <v>10</v>
      </c>
      <c r="L24" s="82">
        <v>1311820</v>
      </c>
      <c r="M24" s="82">
        <v>1495472</v>
      </c>
      <c r="N24" s="82">
        <v>183652</v>
      </c>
      <c r="O24" s="81">
        <v>0.87719462484085298</v>
      </c>
      <c r="P24" s="76"/>
      <c r="Q24" s="84">
        <v>5</v>
      </c>
      <c r="R24" s="83" t="s">
        <v>15</v>
      </c>
      <c r="S24" s="97">
        <v>4.5641025641025639</v>
      </c>
      <c r="T24" s="76"/>
      <c r="U24" s="83" t="s">
        <v>15</v>
      </c>
      <c r="V24" s="82">
        <v>2</v>
      </c>
      <c r="W24" s="82">
        <v>20</v>
      </c>
      <c r="X24" s="82">
        <v>58</v>
      </c>
      <c r="Y24" s="82">
        <v>37</v>
      </c>
      <c r="Z24" s="82">
        <v>117</v>
      </c>
      <c r="AA24" s="81">
        <v>0.31623931623931623</v>
      </c>
    </row>
    <row r="25" spans="10:27" ht="19.05" customHeight="1">
      <c r="J25" s="84">
        <v>6</v>
      </c>
      <c r="K25" s="83" t="s">
        <v>19</v>
      </c>
      <c r="L25" s="82">
        <v>1221030</v>
      </c>
      <c r="M25" s="82">
        <v>1404174</v>
      </c>
      <c r="N25" s="82">
        <v>183144</v>
      </c>
      <c r="O25" s="81">
        <v>0.86957171974413427</v>
      </c>
      <c r="P25" s="76"/>
      <c r="Q25" s="84">
        <v>6</v>
      </c>
      <c r="R25" s="83" t="s">
        <v>7</v>
      </c>
      <c r="S25" s="97">
        <v>5.3787878787878789</v>
      </c>
      <c r="T25" s="76"/>
      <c r="U25" s="83" t="s">
        <v>7</v>
      </c>
      <c r="V25" s="82">
        <v>2</v>
      </c>
      <c r="W25" s="82">
        <v>41</v>
      </c>
      <c r="X25" s="82">
        <v>66</v>
      </c>
      <c r="Y25" s="82">
        <v>23</v>
      </c>
      <c r="Z25" s="82">
        <v>132</v>
      </c>
      <c r="AA25" s="81">
        <v>0.17424242424242425</v>
      </c>
    </row>
    <row r="26" spans="10:27" ht="19.05" customHeight="1">
      <c r="J26" s="84">
        <v>7</v>
      </c>
      <c r="K26" s="83" t="s">
        <v>21</v>
      </c>
      <c r="L26" s="82">
        <v>1072720</v>
      </c>
      <c r="M26" s="82">
        <v>1147816</v>
      </c>
      <c r="N26" s="96">
        <v>75096</v>
      </c>
      <c r="O26" s="81">
        <v>0.9345748795974268</v>
      </c>
      <c r="P26" s="76"/>
      <c r="Q26" s="84">
        <v>7</v>
      </c>
      <c r="R26" s="83" t="s">
        <v>10</v>
      </c>
      <c r="S26" s="95">
        <v>5.4566929133858268</v>
      </c>
      <c r="T26" s="76"/>
      <c r="U26" s="83" t="s">
        <v>10</v>
      </c>
      <c r="V26" s="82">
        <v>6</v>
      </c>
      <c r="W26" s="82">
        <v>39</v>
      </c>
      <c r="X26" s="82">
        <v>64</v>
      </c>
      <c r="Y26" s="82">
        <v>18</v>
      </c>
      <c r="Z26" s="82">
        <v>127</v>
      </c>
      <c r="AA26" s="81">
        <v>0.14173228346456693</v>
      </c>
    </row>
    <row r="27" spans="10:27" ht="19.05" customHeight="1">
      <c r="J27" s="84">
        <v>8</v>
      </c>
      <c r="K27" s="83" t="s">
        <v>15</v>
      </c>
      <c r="L27" s="82">
        <v>1064080</v>
      </c>
      <c r="M27" s="82">
        <v>1149207</v>
      </c>
      <c r="N27" s="96">
        <v>85127</v>
      </c>
      <c r="O27" s="81">
        <v>0.92592544250078535</v>
      </c>
      <c r="P27" s="76"/>
      <c r="Q27" s="84">
        <v>8</v>
      </c>
      <c r="R27" s="83" t="s">
        <v>19</v>
      </c>
      <c r="S27" s="95">
        <v>6.42741935483871</v>
      </c>
      <c r="T27" s="76"/>
      <c r="U27" s="83" t="s">
        <v>19</v>
      </c>
      <c r="V27" s="82">
        <v>9</v>
      </c>
      <c r="W27" s="82">
        <v>56</v>
      </c>
      <c r="X27" s="82">
        <v>47</v>
      </c>
      <c r="Y27" s="82">
        <v>12</v>
      </c>
      <c r="Z27" s="82">
        <v>124</v>
      </c>
      <c r="AA27" s="94">
        <v>9.6774193548387094E-2</v>
      </c>
    </row>
    <row r="28" spans="10:27" ht="19.05" customHeight="1">
      <c r="J28" s="80" t="s">
        <v>26</v>
      </c>
      <c r="K28" s="79"/>
      <c r="L28" s="78">
        <v>10372470</v>
      </c>
      <c r="M28" s="78">
        <v>11399649</v>
      </c>
      <c r="N28" s="78">
        <v>1027179</v>
      </c>
      <c r="O28" s="77">
        <v>0.90989380462503711</v>
      </c>
      <c r="P28" s="76"/>
      <c r="Q28" s="80"/>
      <c r="R28" s="79" t="s">
        <v>26</v>
      </c>
      <c r="S28" s="93">
        <v>4.5880000000000001</v>
      </c>
      <c r="T28" s="76"/>
      <c r="U28" s="79" t="s">
        <v>26</v>
      </c>
      <c r="V28" s="78">
        <v>20</v>
      </c>
      <c r="W28" s="78">
        <v>190</v>
      </c>
      <c r="X28" s="78">
        <v>476</v>
      </c>
      <c r="Y28" s="78">
        <v>314</v>
      </c>
      <c r="Z28" s="78">
        <v>1000</v>
      </c>
      <c r="AA28" s="77">
        <v>0.314</v>
      </c>
    </row>
    <row r="29" spans="10:27" ht="19.05" customHeight="1"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</row>
    <row r="30" spans="10:27" ht="19.05" customHeight="1" thickBot="1"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</row>
    <row r="31" spans="10:27" ht="19.05" customHeight="1" thickBot="1">
      <c r="J31" s="113" t="s">
        <v>150</v>
      </c>
      <c r="K31" s="114" t="s">
        <v>150</v>
      </c>
      <c r="L31" s="114" t="s">
        <v>150</v>
      </c>
      <c r="M31" s="114" t="s">
        <v>150</v>
      </c>
      <c r="N31" s="115" t="s">
        <v>150</v>
      </c>
      <c r="O31" s="76"/>
      <c r="P31" s="76"/>
      <c r="Q31" s="113" t="s">
        <v>149</v>
      </c>
      <c r="R31" s="114" t="s">
        <v>149</v>
      </c>
      <c r="S31" s="114" t="s">
        <v>149</v>
      </c>
      <c r="T31" s="114" t="s">
        <v>149</v>
      </c>
      <c r="U31" s="115" t="s">
        <v>149</v>
      </c>
      <c r="V31" s="76"/>
      <c r="W31" s="113" t="s">
        <v>148</v>
      </c>
      <c r="X31" s="114" t="s">
        <v>148</v>
      </c>
      <c r="Y31" s="114" t="s">
        <v>148</v>
      </c>
      <c r="Z31" s="114" t="s">
        <v>148</v>
      </c>
      <c r="AA31" s="115" t="s">
        <v>148</v>
      </c>
    </row>
    <row r="32" spans="10:27" ht="19.05" customHeight="1">
      <c r="J32" s="85" t="s">
        <v>127</v>
      </c>
      <c r="K32" s="85" t="s">
        <v>147</v>
      </c>
      <c r="L32" s="85" t="s">
        <v>146</v>
      </c>
      <c r="M32" s="85" t="s">
        <v>125</v>
      </c>
      <c r="N32" s="85" t="s">
        <v>124</v>
      </c>
      <c r="O32" s="76"/>
      <c r="P32" s="76"/>
      <c r="Q32" s="85" t="s">
        <v>127</v>
      </c>
      <c r="R32" s="85" t="s">
        <v>147</v>
      </c>
      <c r="S32" s="85" t="s">
        <v>146</v>
      </c>
      <c r="T32" s="85" t="s">
        <v>125</v>
      </c>
      <c r="U32" s="85" t="s">
        <v>124</v>
      </c>
      <c r="V32" s="76"/>
      <c r="W32" s="92" t="s">
        <v>145</v>
      </c>
      <c r="X32" s="91" t="s">
        <v>144</v>
      </c>
      <c r="Y32" s="91" t="s">
        <v>143</v>
      </c>
      <c r="Z32" s="91" t="s">
        <v>142</v>
      </c>
      <c r="AA32" s="90"/>
    </row>
    <row r="33" spans="10:27" ht="19.05" customHeight="1">
      <c r="J33" s="84">
        <v>1</v>
      </c>
      <c r="K33" s="83" t="s">
        <v>71</v>
      </c>
      <c r="L33" s="83" t="s">
        <v>72</v>
      </c>
      <c r="M33" s="82">
        <v>358680</v>
      </c>
      <c r="N33" s="81">
        <v>3.4579998785245945E-2</v>
      </c>
      <c r="O33" s="76"/>
      <c r="P33" s="76"/>
      <c r="Q33" s="84">
        <v>1</v>
      </c>
      <c r="R33" s="83" t="s">
        <v>114</v>
      </c>
      <c r="S33" s="83" t="s">
        <v>115</v>
      </c>
      <c r="T33" s="82">
        <v>114660</v>
      </c>
      <c r="U33" s="81">
        <v>1.105426190675895E-2</v>
      </c>
      <c r="V33" s="76"/>
      <c r="W33" s="89" t="s">
        <v>141</v>
      </c>
      <c r="X33" s="88">
        <v>0</v>
      </c>
      <c r="Y33" s="87" t="s">
        <v>138</v>
      </c>
      <c r="Z33" s="86" t="s">
        <v>137</v>
      </c>
      <c r="AA33" s="86"/>
    </row>
    <row r="34" spans="10:27" ht="19.05" customHeight="1">
      <c r="J34" s="84">
        <v>2</v>
      </c>
      <c r="K34" s="83" t="s">
        <v>93</v>
      </c>
      <c r="L34" s="83" t="s">
        <v>94</v>
      </c>
      <c r="M34" s="82">
        <v>332980</v>
      </c>
      <c r="N34" s="81">
        <v>3.2102286147850996E-2</v>
      </c>
      <c r="O34" s="76"/>
      <c r="P34" s="76"/>
      <c r="Q34" s="84">
        <v>2</v>
      </c>
      <c r="R34" s="83" t="s">
        <v>106</v>
      </c>
      <c r="S34" s="83" t="s">
        <v>107</v>
      </c>
      <c r="T34" s="82">
        <v>117300</v>
      </c>
      <c r="U34" s="81">
        <v>1.1308781804141155E-2</v>
      </c>
      <c r="V34" s="76"/>
      <c r="W34" s="89" t="s">
        <v>140</v>
      </c>
      <c r="X34" s="88">
        <v>0</v>
      </c>
      <c r="Y34" s="87" t="s">
        <v>138</v>
      </c>
      <c r="Z34" s="86" t="s">
        <v>137</v>
      </c>
      <c r="AA34" s="86"/>
    </row>
    <row r="35" spans="10:27" ht="19.05" customHeight="1">
      <c r="J35" s="84">
        <v>3</v>
      </c>
      <c r="K35" s="83" t="s">
        <v>74</v>
      </c>
      <c r="L35" s="83" t="s">
        <v>75</v>
      </c>
      <c r="M35" s="82">
        <v>323880</v>
      </c>
      <c r="N35" s="81">
        <v>3.1224963774298696E-2</v>
      </c>
      <c r="O35" s="76"/>
      <c r="P35" s="76"/>
      <c r="Q35" s="84">
        <v>3</v>
      </c>
      <c r="R35" s="83" t="s">
        <v>100</v>
      </c>
      <c r="S35" s="83" t="s">
        <v>101</v>
      </c>
      <c r="T35" s="82">
        <v>131450</v>
      </c>
      <c r="U35" s="81">
        <v>1.2672969890488958E-2</v>
      </c>
      <c r="V35" s="76"/>
      <c r="W35" s="89" t="s">
        <v>139</v>
      </c>
      <c r="X35" s="88">
        <v>0</v>
      </c>
      <c r="Y35" s="87" t="s">
        <v>138</v>
      </c>
      <c r="Z35" s="86" t="s">
        <v>137</v>
      </c>
      <c r="AA35" s="86"/>
    </row>
    <row r="36" spans="10:27" ht="19.05" customHeight="1">
      <c r="J36" s="84">
        <v>4</v>
      </c>
      <c r="K36" s="83" t="s">
        <v>80</v>
      </c>
      <c r="L36" s="83" t="s">
        <v>81</v>
      </c>
      <c r="M36" s="82">
        <v>316400</v>
      </c>
      <c r="N36" s="81">
        <v>3.0503824065049114E-2</v>
      </c>
      <c r="O36" s="76"/>
      <c r="P36" s="76"/>
      <c r="Q36" s="84">
        <v>4</v>
      </c>
      <c r="R36" s="83" t="s">
        <v>98</v>
      </c>
      <c r="S36" s="83" t="s">
        <v>99</v>
      </c>
      <c r="T36" s="82">
        <v>132740</v>
      </c>
      <c r="U36" s="81">
        <v>1.2797337567618899E-2</v>
      </c>
      <c r="V36" s="76"/>
      <c r="W36" s="116" t="s">
        <v>136</v>
      </c>
      <c r="X36" s="117"/>
      <c r="Y36" s="117"/>
      <c r="Z36" s="117"/>
      <c r="AA36" s="118"/>
    </row>
    <row r="37" spans="10:27" ht="19.05" customHeight="1">
      <c r="J37" s="84">
        <v>5</v>
      </c>
      <c r="K37" s="83" t="s">
        <v>83</v>
      </c>
      <c r="L37" s="83" t="s">
        <v>84</v>
      </c>
      <c r="M37" s="82">
        <v>309150</v>
      </c>
      <c r="N37" s="81">
        <v>2.980485843776844E-2</v>
      </c>
      <c r="O37" s="76"/>
      <c r="P37" s="76"/>
      <c r="Q37" s="84">
        <v>5</v>
      </c>
      <c r="R37" s="83" t="s">
        <v>108</v>
      </c>
      <c r="S37" s="83" t="s">
        <v>109</v>
      </c>
      <c r="T37" s="82">
        <v>139570</v>
      </c>
      <c r="U37" s="81">
        <v>1.3455811393043316E-2</v>
      </c>
      <c r="V37" s="76"/>
      <c r="W37" s="107" t="s">
        <v>135</v>
      </c>
      <c r="X37" s="108"/>
      <c r="Y37" s="108"/>
      <c r="Z37" s="108"/>
      <c r="AA37" s="109"/>
    </row>
    <row r="38" spans="10:27" ht="19.05" customHeight="1">
      <c r="J38" s="84">
        <v>6</v>
      </c>
      <c r="K38" s="83" t="s">
        <v>68</v>
      </c>
      <c r="L38" s="83" t="s">
        <v>69</v>
      </c>
      <c r="M38" s="82">
        <v>300240</v>
      </c>
      <c r="N38" s="81">
        <v>2.8945853784103498E-2</v>
      </c>
      <c r="O38" s="76"/>
      <c r="P38" s="76"/>
      <c r="Q38" s="84">
        <v>6</v>
      </c>
      <c r="R38" s="83" t="s">
        <v>104</v>
      </c>
      <c r="S38" s="83" t="s">
        <v>105</v>
      </c>
      <c r="T38" s="82">
        <v>139790</v>
      </c>
      <c r="U38" s="81">
        <v>1.3477021384491833E-2</v>
      </c>
      <c r="V38" s="76"/>
      <c r="W38" s="107" t="s">
        <v>134</v>
      </c>
      <c r="X38" s="108"/>
      <c r="Y38" s="108"/>
      <c r="Z38" s="108"/>
      <c r="AA38" s="109"/>
    </row>
    <row r="39" spans="10:27" ht="19.05" customHeight="1">
      <c r="J39" s="84">
        <v>7</v>
      </c>
      <c r="K39" s="83" t="s">
        <v>89</v>
      </c>
      <c r="L39" s="83" t="s">
        <v>90</v>
      </c>
      <c r="M39" s="82">
        <v>299560</v>
      </c>
      <c r="N39" s="81">
        <v>2.8880295628717172E-2</v>
      </c>
      <c r="O39" s="76"/>
      <c r="P39" s="76"/>
      <c r="Q39" s="84">
        <v>7</v>
      </c>
      <c r="R39" s="83" t="s">
        <v>110</v>
      </c>
      <c r="S39" s="83" t="s">
        <v>111</v>
      </c>
      <c r="T39" s="82">
        <v>144880</v>
      </c>
      <c r="U39" s="81">
        <v>1.3967743459368888E-2</v>
      </c>
      <c r="V39" s="76"/>
      <c r="W39" s="107" t="s">
        <v>133</v>
      </c>
      <c r="X39" s="108"/>
      <c r="Y39" s="108"/>
      <c r="Z39" s="108"/>
      <c r="AA39" s="109"/>
    </row>
    <row r="40" spans="10:27" ht="19.05" customHeight="1">
      <c r="J40" s="84">
        <v>8</v>
      </c>
      <c r="K40" s="83" t="s">
        <v>91</v>
      </c>
      <c r="L40" s="83" t="s">
        <v>92</v>
      </c>
      <c r="M40" s="82">
        <v>298350</v>
      </c>
      <c r="N40" s="81">
        <v>2.8763640675750327E-2</v>
      </c>
      <c r="O40" s="76"/>
      <c r="P40" s="76"/>
      <c r="Q40" s="84">
        <v>8</v>
      </c>
      <c r="R40" s="83" t="s">
        <v>112</v>
      </c>
      <c r="S40" s="83" t="s">
        <v>113</v>
      </c>
      <c r="T40" s="82">
        <v>144970</v>
      </c>
      <c r="U40" s="81">
        <v>1.3976420274052371E-2</v>
      </c>
      <c r="V40" s="76"/>
      <c r="W40" s="107" t="s">
        <v>132</v>
      </c>
      <c r="X40" s="108"/>
      <c r="Y40" s="108"/>
      <c r="Z40" s="108"/>
      <c r="AA40" s="109"/>
    </row>
    <row r="41" spans="10:27" ht="19.05" customHeight="1">
      <c r="J41" s="84">
        <v>9</v>
      </c>
      <c r="K41" s="83" t="s">
        <v>86</v>
      </c>
      <c r="L41" s="83" t="s">
        <v>87</v>
      </c>
      <c r="M41" s="82">
        <v>294550</v>
      </c>
      <c r="N41" s="81">
        <v>2.8397286278003215E-2</v>
      </c>
      <c r="O41" s="76"/>
      <c r="P41" s="76"/>
      <c r="Q41" s="84">
        <v>9</v>
      </c>
      <c r="R41" s="83" t="s">
        <v>96</v>
      </c>
      <c r="S41" s="83" t="s">
        <v>97</v>
      </c>
      <c r="T41" s="82">
        <v>146490</v>
      </c>
      <c r="U41" s="81">
        <v>1.4122962033151217E-2</v>
      </c>
      <c r="V41" s="76"/>
      <c r="W41" s="107" t="s">
        <v>131</v>
      </c>
      <c r="X41" s="108"/>
      <c r="Y41" s="108"/>
      <c r="Z41" s="108"/>
      <c r="AA41" s="109"/>
    </row>
    <row r="42" spans="10:27" ht="19.05" customHeight="1">
      <c r="J42" s="84">
        <v>10</v>
      </c>
      <c r="K42" s="83" t="s">
        <v>77</v>
      </c>
      <c r="L42" s="83" t="s">
        <v>78</v>
      </c>
      <c r="M42" s="82">
        <v>290270</v>
      </c>
      <c r="N42" s="81">
        <v>2.7984655535277517E-2</v>
      </c>
      <c r="O42" s="76"/>
      <c r="P42" s="76"/>
      <c r="Q42" s="84">
        <v>10</v>
      </c>
      <c r="R42" s="83" t="s">
        <v>102</v>
      </c>
      <c r="S42" s="83" t="s">
        <v>103</v>
      </c>
      <c r="T42" s="82">
        <v>146950</v>
      </c>
      <c r="U42" s="81">
        <v>1.4167310197089025E-2</v>
      </c>
      <c r="V42" s="76"/>
      <c r="W42" s="107" t="s">
        <v>130</v>
      </c>
      <c r="X42" s="108"/>
      <c r="Y42" s="108"/>
      <c r="Z42" s="108"/>
      <c r="AA42" s="109"/>
    </row>
    <row r="43" spans="10:27" ht="19.05" customHeight="1">
      <c r="J43" s="80" t="s">
        <v>123</v>
      </c>
      <c r="K43" s="79"/>
      <c r="L43" s="79"/>
      <c r="M43" s="78">
        <v>3124060</v>
      </c>
      <c r="N43" s="77">
        <v>0.30118766311206491</v>
      </c>
      <c r="O43" s="76"/>
      <c r="P43" s="76"/>
      <c r="Q43" s="80" t="s">
        <v>123</v>
      </c>
      <c r="R43" s="79"/>
      <c r="S43" s="79"/>
      <c r="T43" s="78">
        <v>1358800</v>
      </c>
      <c r="U43" s="77">
        <v>0.13100061991020462</v>
      </c>
      <c r="V43" s="76"/>
      <c r="W43" s="110"/>
      <c r="X43" s="111"/>
      <c r="Y43" s="111"/>
      <c r="Z43" s="111"/>
      <c r="AA43" s="112"/>
    </row>
    <row r="44" spans="10:27" ht="19.05" customHeight="1"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</row>
    <row r="45" spans="10:27" ht="19.05" customHeight="1" thickBot="1"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</row>
    <row r="46" spans="10:27" ht="19.05" customHeight="1" thickBot="1">
      <c r="J46" s="113" t="s">
        <v>129</v>
      </c>
      <c r="K46" s="114" t="s">
        <v>129</v>
      </c>
      <c r="L46" s="114" t="s">
        <v>129</v>
      </c>
      <c r="M46" s="115" t="s">
        <v>129</v>
      </c>
      <c r="N46" s="76"/>
      <c r="O46" s="113" t="s">
        <v>128</v>
      </c>
      <c r="P46" s="114" t="s">
        <v>128</v>
      </c>
      <c r="Q46" s="114" t="s">
        <v>128</v>
      </c>
      <c r="R46" s="115" t="s">
        <v>128</v>
      </c>
      <c r="S46" s="76"/>
      <c r="T46" s="76"/>
      <c r="U46" s="76"/>
      <c r="V46" s="76"/>
      <c r="W46" s="76"/>
      <c r="X46" s="76"/>
      <c r="Y46" s="76"/>
      <c r="Z46" s="76"/>
      <c r="AA46" s="76"/>
    </row>
    <row r="47" spans="10:27" ht="19.05" customHeight="1">
      <c r="J47" s="85" t="s">
        <v>127</v>
      </c>
      <c r="K47" s="85" t="s">
        <v>126</v>
      </c>
      <c r="L47" s="85" t="s">
        <v>125</v>
      </c>
      <c r="M47" s="85" t="s">
        <v>124</v>
      </c>
      <c r="N47" s="76"/>
      <c r="O47" s="85" t="s">
        <v>127</v>
      </c>
      <c r="P47" s="85" t="s">
        <v>126</v>
      </c>
      <c r="Q47" s="85" t="s">
        <v>125</v>
      </c>
      <c r="R47" s="85" t="s">
        <v>124</v>
      </c>
      <c r="S47" s="76"/>
      <c r="T47" s="76"/>
      <c r="U47" s="76"/>
      <c r="V47" s="76"/>
      <c r="W47" s="76"/>
      <c r="X47" s="76"/>
      <c r="Y47" s="76"/>
      <c r="Z47" s="76"/>
      <c r="AA47" s="76"/>
    </row>
    <row r="48" spans="10:27" ht="19.05" customHeight="1">
      <c r="J48" s="84">
        <v>1</v>
      </c>
      <c r="K48" s="83" t="s">
        <v>37</v>
      </c>
      <c r="L48" s="82">
        <v>442120</v>
      </c>
      <c r="M48" s="81">
        <v>4.2624370087356242E-2</v>
      </c>
      <c r="N48" s="76"/>
      <c r="O48" s="84">
        <v>1</v>
      </c>
      <c r="P48" s="83" t="s">
        <v>41</v>
      </c>
      <c r="Q48" s="82">
        <v>126640</v>
      </c>
      <c r="R48" s="81">
        <v>1.2209242350182743E-2</v>
      </c>
      <c r="S48" s="76"/>
      <c r="T48" s="76"/>
      <c r="U48" s="76"/>
      <c r="V48" s="76"/>
      <c r="W48" s="76"/>
      <c r="X48" s="76"/>
      <c r="Y48" s="76"/>
      <c r="Z48" s="76"/>
      <c r="AA48" s="76"/>
    </row>
    <row r="49" spans="10:27" ht="19.05" customHeight="1">
      <c r="J49" s="84">
        <v>2</v>
      </c>
      <c r="K49" s="83" t="s">
        <v>56</v>
      </c>
      <c r="L49" s="82">
        <v>388430</v>
      </c>
      <c r="M49" s="81">
        <v>3.7448168083397688E-2</v>
      </c>
      <c r="N49" s="76"/>
      <c r="O49" s="84">
        <v>2</v>
      </c>
      <c r="P49" s="83" t="s">
        <v>34</v>
      </c>
      <c r="Q49" s="82">
        <v>158070</v>
      </c>
      <c r="R49" s="81">
        <v>1.5239378855759525E-2</v>
      </c>
      <c r="S49" s="76"/>
      <c r="T49" s="76"/>
      <c r="U49" s="76"/>
      <c r="V49" s="76"/>
      <c r="W49" s="76"/>
      <c r="X49" s="76"/>
      <c r="Y49" s="76"/>
      <c r="Z49" s="76"/>
      <c r="AA49" s="76"/>
    </row>
    <row r="50" spans="10:27" ht="19.05" customHeight="1">
      <c r="J50" s="84">
        <v>3</v>
      </c>
      <c r="K50" s="83" t="s">
        <v>9</v>
      </c>
      <c r="L50" s="82">
        <v>374700</v>
      </c>
      <c r="M50" s="81">
        <v>3.6124471798906141E-2</v>
      </c>
      <c r="N50" s="76"/>
      <c r="O50" s="84">
        <v>3</v>
      </c>
      <c r="P50" s="83" t="s">
        <v>51</v>
      </c>
      <c r="Q50" s="82">
        <v>170090</v>
      </c>
      <c r="R50" s="81">
        <v>1.6398215661264866E-2</v>
      </c>
      <c r="S50" s="76"/>
      <c r="T50" s="76"/>
      <c r="U50" s="76"/>
      <c r="V50" s="76"/>
      <c r="W50" s="76"/>
      <c r="X50" s="76"/>
      <c r="Y50" s="76"/>
      <c r="Z50" s="76"/>
      <c r="AA50" s="76"/>
    </row>
    <row r="51" spans="10:27" ht="19.05" customHeight="1">
      <c r="J51" s="84">
        <v>4</v>
      </c>
      <c r="K51" s="83" t="s">
        <v>64</v>
      </c>
      <c r="L51" s="82">
        <v>364560</v>
      </c>
      <c r="M51" s="81">
        <v>3.514688401123358E-2</v>
      </c>
      <c r="N51" s="76"/>
      <c r="O51" s="84">
        <v>4</v>
      </c>
      <c r="P51" s="83" t="s">
        <v>61</v>
      </c>
      <c r="Q51" s="82">
        <v>175790</v>
      </c>
      <c r="R51" s="81">
        <v>1.6947747257885538E-2</v>
      </c>
      <c r="S51" s="76"/>
      <c r="T51" s="76"/>
      <c r="U51" s="76"/>
      <c r="V51" s="76"/>
      <c r="W51" s="76"/>
      <c r="X51" s="76"/>
      <c r="Y51" s="76"/>
      <c r="Z51" s="76"/>
      <c r="AA51" s="76"/>
    </row>
    <row r="52" spans="10:27" ht="19.05" customHeight="1">
      <c r="J52" s="84">
        <v>5</v>
      </c>
      <c r="K52" s="83" t="s">
        <v>28</v>
      </c>
      <c r="L52" s="82">
        <v>350070</v>
      </c>
      <c r="M52" s="81">
        <v>3.3749916847192619E-2</v>
      </c>
      <c r="N52" s="76"/>
      <c r="O52" s="84">
        <v>5</v>
      </c>
      <c r="P52" s="83" t="s">
        <v>35</v>
      </c>
      <c r="Q52" s="82">
        <v>183710</v>
      </c>
      <c r="R52" s="81">
        <v>1.7711306950032153E-2</v>
      </c>
      <c r="S52" s="76"/>
      <c r="T52" s="76"/>
      <c r="U52" s="76"/>
      <c r="V52" s="76"/>
      <c r="W52" s="76"/>
      <c r="X52" s="76"/>
      <c r="Y52" s="76"/>
      <c r="Z52" s="76"/>
      <c r="AA52" s="76"/>
    </row>
    <row r="53" spans="10:27" ht="19.05" customHeight="1">
      <c r="J53" s="84">
        <v>6</v>
      </c>
      <c r="K53" s="83" t="s">
        <v>58</v>
      </c>
      <c r="L53" s="82">
        <v>318770</v>
      </c>
      <c r="M53" s="81">
        <v>3.0732313518380867E-2</v>
      </c>
      <c r="N53" s="76"/>
      <c r="O53" s="84">
        <v>6</v>
      </c>
      <c r="P53" s="83" t="s">
        <v>52</v>
      </c>
      <c r="Q53" s="82">
        <v>186370</v>
      </c>
      <c r="R53" s="81">
        <v>1.7967755028455133E-2</v>
      </c>
      <c r="S53" s="76"/>
      <c r="T53" s="76"/>
      <c r="U53" s="76"/>
      <c r="V53" s="76"/>
      <c r="W53" s="76"/>
      <c r="X53" s="76"/>
      <c r="Y53" s="76"/>
      <c r="Z53" s="76"/>
      <c r="AA53" s="76"/>
    </row>
    <row r="54" spans="10:27" ht="19.05" customHeight="1">
      <c r="J54" s="84">
        <v>7</v>
      </c>
      <c r="K54" s="83" t="s">
        <v>67</v>
      </c>
      <c r="L54" s="82">
        <v>310060</v>
      </c>
      <c r="M54" s="81">
        <v>2.9892590675123669E-2</v>
      </c>
      <c r="N54" s="76"/>
      <c r="O54" s="84">
        <v>7</v>
      </c>
      <c r="P54" s="83" t="s">
        <v>45</v>
      </c>
      <c r="Q54" s="82">
        <v>201090</v>
      </c>
      <c r="R54" s="81">
        <v>1.9386896274465003E-2</v>
      </c>
      <c r="S54" s="76"/>
      <c r="T54" s="76"/>
      <c r="U54" s="76"/>
      <c r="V54" s="76"/>
      <c r="W54" s="76"/>
      <c r="X54" s="76"/>
      <c r="Y54" s="76"/>
      <c r="Z54" s="76"/>
      <c r="AA54" s="76"/>
    </row>
    <row r="55" spans="10:27" ht="19.05" customHeight="1">
      <c r="J55" s="84">
        <v>8</v>
      </c>
      <c r="K55" s="83" t="s">
        <v>20</v>
      </c>
      <c r="L55" s="82">
        <v>306700</v>
      </c>
      <c r="M55" s="81">
        <v>2.956865626027359E-2</v>
      </c>
      <c r="N55" s="76"/>
      <c r="O55" s="84">
        <v>8</v>
      </c>
      <c r="P55" s="83" t="s">
        <v>62</v>
      </c>
      <c r="Q55" s="82">
        <v>211990</v>
      </c>
      <c r="R55" s="81">
        <v>2.0437754941686984E-2</v>
      </c>
      <c r="S55" s="76"/>
      <c r="T55" s="76"/>
      <c r="U55" s="76"/>
      <c r="V55" s="76"/>
      <c r="W55" s="76"/>
      <c r="X55" s="76"/>
      <c r="Y55" s="76"/>
      <c r="Z55" s="76"/>
      <c r="AA55" s="76"/>
    </row>
    <row r="56" spans="10:27" ht="19.05" customHeight="1">
      <c r="J56" s="84">
        <v>9</v>
      </c>
      <c r="K56" s="83" t="s">
        <v>16</v>
      </c>
      <c r="L56" s="82">
        <v>301110</v>
      </c>
      <c r="M56" s="81">
        <v>2.9029729659377179E-2</v>
      </c>
      <c r="N56" s="76"/>
      <c r="O56" s="84">
        <v>9</v>
      </c>
      <c r="P56" s="83" t="s">
        <v>22</v>
      </c>
      <c r="Q56" s="82">
        <v>213060</v>
      </c>
      <c r="R56" s="81">
        <v>2.0540912627368409E-2</v>
      </c>
      <c r="S56" s="76"/>
      <c r="T56" s="76"/>
      <c r="U56" s="76"/>
      <c r="V56" s="76"/>
      <c r="W56" s="76"/>
      <c r="X56" s="76"/>
      <c r="Y56" s="76"/>
      <c r="Z56" s="76"/>
      <c r="AA56" s="76"/>
    </row>
    <row r="57" spans="10:27" ht="19.05" customHeight="1">
      <c r="J57" s="84">
        <v>10</v>
      </c>
      <c r="K57" s="83" t="s">
        <v>12</v>
      </c>
      <c r="L57" s="82">
        <v>300800</v>
      </c>
      <c r="M57" s="81">
        <v>2.8999842853245177E-2</v>
      </c>
      <c r="N57" s="76"/>
      <c r="O57" s="84">
        <v>10</v>
      </c>
      <c r="P57" s="83" t="s">
        <v>53</v>
      </c>
      <c r="Q57" s="82">
        <v>213800</v>
      </c>
      <c r="R57" s="81">
        <v>2.0612255325877057E-2</v>
      </c>
      <c r="S57" s="76"/>
      <c r="T57" s="76"/>
      <c r="U57" s="76"/>
      <c r="V57" s="76"/>
      <c r="W57" s="76"/>
      <c r="X57" s="76"/>
      <c r="Y57" s="76"/>
      <c r="Z57" s="76"/>
      <c r="AA57" s="76"/>
    </row>
    <row r="58" spans="10:27" ht="19.05" customHeight="1">
      <c r="J58" s="80" t="s">
        <v>123</v>
      </c>
      <c r="K58" s="79"/>
      <c r="L58" s="78">
        <v>3457320</v>
      </c>
      <c r="M58" s="77">
        <v>0.33331694379448673</v>
      </c>
      <c r="N58" s="76"/>
      <c r="O58" s="80" t="s">
        <v>123</v>
      </c>
      <c r="P58" s="79"/>
      <c r="Q58" s="78">
        <v>1840610</v>
      </c>
      <c r="R58" s="77">
        <v>0.17745146527297742</v>
      </c>
      <c r="S58" s="76"/>
      <c r="T58" s="76"/>
      <c r="U58" s="76"/>
      <c r="V58" s="76"/>
      <c r="W58" s="76"/>
      <c r="X58" s="76"/>
      <c r="Y58" s="76"/>
      <c r="Z58" s="76"/>
      <c r="AA58" s="76"/>
    </row>
    <row r="59" spans="10:27" ht="14.4"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</row>
    <row r="60" spans="10:27" ht="14.4"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</row>
    <row r="61" spans="10:27" ht="28.05" customHeight="1">
      <c r="J61" s="101" t="s">
        <v>122</v>
      </c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3"/>
    </row>
    <row r="62" spans="10:27" ht="28.05" customHeight="1">
      <c r="J62" s="104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6"/>
    </row>
  </sheetData>
  <mergeCells count="35">
    <mergeCell ref="V7:AA7"/>
    <mergeCell ref="V8:AA9"/>
    <mergeCell ref="J3:AA4"/>
    <mergeCell ref="J5:AA5"/>
    <mergeCell ref="J7:L7"/>
    <mergeCell ref="J8:L9"/>
    <mergeCell ref="M7:O7"/>
    <mergeCell ref="M8:O9"/>
    <mergeCell ref="P7:R7"/>
    <mergeCell ref="P8:R9"/>
    <mergeCell ref="S7:U7"/>
    <mergeCell ref="S8:U9"/>
    <mergeCell ref="Q31:U31"/>
    <mergeCell ref="W31:AA31"/>
    <mergeCell ref="J11:AA11"/>
    <mergeCell ref="J12:AA12"/>
    <mergeCell ref="J13:AA13"/>
    <mergeCell ref="J14:AA14"/>
    <mergeCell ref="J15:AA15"/>
    <mergeCell ref="J16:AA16"/>
    <mergeCell ref="J18:O18"/>
    <mergeCell ref="Q18:S18"/>
    <mergeCell ref="U18:AA18"/>
    <mergeCell ref="J31:N31"/>
    <mergeCell ref="W36:AA36"/>
    <mergeCell ref="W37:AA37"/>
    <mergeCell ref="W38:AA38"/>
    <mergeCell ref="W39:AA39"/>
    <mergeCell ref="W40:AA40"/>
    <mergeCell ref="J61:AA62"/>
    <mergeCell ref="W41:AA41"/>
    <mergeCell ref="W42:AA42"/>
    <mergeCell ref="W43:AA43"/>
    <mergeCell ref="J46:M46"/>
    <mergeCell ref="O46:R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FD92-0D95-4127-8D1D-EEE9DBD71F76}">
  <dimension ref="A1"/>
  <sheetViews>
    <sheetView tabSelected="1" topLeftCell="B2" zoomScale="98" zoomScaleNormal="81" workbookViewId="0">
      <selection activeCell="X12" sqref="X12"/>
    </sheetView>
  </sheetViews>
  <sheetFormatPr defaultRowHeight="13.8"/>
  <cols>
    <col min="1" max="16384" width="8.796875" style="8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9" r:id="rId3" name="Option Button 41">
              <controlPr defaultSize="0" autoFill="0" autoLine="0" autoPict="0">
                <anchor moveWithCells="1">
                  <from>
                    <xdr:col>9</xdr:col>
                    <xdr:colOff>213360</xdr:colOff>
                    <xdr:row>16</xdr:row>
                    <xdr:rowOff>60960</xdr:rowOff>
                  </from>
                  <to>
                    <xdr:col>11</xdr:col>
                    <xdr:colOff>22860</xdr:colOff>
                    <xdr:row>17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" name="Option Button 44">
              <controlPr defaultSize="0" autoFill="0" autoLine="0" autoPict="0">
                <anchor moveWithCells="1">
                  <from>
                    <xdr:col>10</xdr:col>
                    <xdr:colOff>129540</xdr:colOff>
                    <xdr:row>16</xdr:row>
                    <xdr:rowOff>53340</xdr:rowOff>
                  </from>
                  <to>
                    <xdr:col>11</xdr:col>
                    <xdr:colOff>655320</xdr:colOff>
                    <xdr:row>17</xdr:row>
                    <xdr:rowOff>99060</xdr:rowOff>
                  </to>
                </anchor>
              </controlPr>
            </control>
          </mc:Choice>
        </mc:AlternateContent>
      </controls>
    </mc:Choice>
  </mc:AlternateContent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7D7E-E9B9-459E-89BA-F6E07BCB949F}">
  <dimension ref="A1"/>
  <sheetViews>
    <sheetView zoomScale="82" zoomScaleNormal="82" workbookViewId="0"/>
  </sheetViews>
  <sheetFormatPr defaultRowHeight="13.8"/>
  <cols>
    <col min="1" max="16384" width="8.796875" style="8"/>
  </cols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Option Button 3">
              <controlPr defaultSize="0" autoFill="0" autoLine="0" autoPict="0">
                <anchor moveWithCells="1">
                  <from>
                    <xdr:col>21</xdr:col>
                    <xdr:colOff>586740</xdr:colOff>
                    <xdr:row>20</xdr:row>
                    <xdr:rowOff>68580</xdr:rowOff>
                  </from>
                  <to>
                    <xdr:col>23</xdr:col>
                    <xdr:colOff>251460</xdr:colOff>
                    <xdr:row>22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Option Button 4">
              <controlPr defaultSize="0" autoFill="0" autoLine="0" autoPict="0">
                <anchor moveWithCells="1">
                  <from>
                    <xdr:col>22</xdr:col>
                    <xdr:colOff>388620</xdr:colOff>
                    <xdr:row>20</xdr:row>
                    <xdr:rowOff>68580</xdr:rowOff>
                  </from>
                  <to>
                    <xdr:col>24</xdr:col>
                    <xdr:colOff>45720</xdr:colOff>
                    <xdr:row>22</xdr:row>
                    <xdr:rowOff>15240</xdr:rowOff>
                  </to>
                </anchor>
              </controlPr>
            </control>
          </mc:Choice>
        </mc:AlternateContent>
      </controls>
    </mc:Choice>
  </mc:AlternateContent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 </vt:lpstr>
      <vt:lpstr>Store Average Delivery Days </vt:lpstr>
      <vt:lpstr>Organized Analysis</vt:lpstr>
      <vt:lpstr>Dashboard 1</vt:lpstr>
      <vt:lpstr>Dashboard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2026-06-25T10:21:20Z</cp:lastPrinted>
  <dcterms:created xsi:type="dcterms:W3CDTF">2026-06-25T10:20:13Z</dcterms:created>
  <dcterms:modified xsi:type="dcterms:W3CDTF">2026-08-15T07:44:28Z</dcterms:modified>
</cp:coreProperties>
</file>